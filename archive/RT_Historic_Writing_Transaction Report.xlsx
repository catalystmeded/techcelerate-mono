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1" l="1"/>
</calcChain>
</file>

<file path=xl/sharedStrings.xml><?xml version="1.0" encoding="utf-8"?>
<sst xmlns="http://schemas.openxmlformats.org/spreadsheetml/2006/main" count="158" uniqueCount="59">
  <si>
    <t>Transaction Report</t>
  </si>
  <si>
    <t>Catalyst Medical Education, LLC</t>
  </si>
  <si>
    <t>All Dates</t>
  </si>
  <si>
    <t>550-000 Freelance</t>
  </si>
  <si>
    <t>550-102 Medical Writer TCE</t>
  </si>
  <si>
    <t>05/16/2023</t>
  </si>
  <si>
    <t>Expense</t>
  </si>
  <si>
    <t/>
  </si>
  <si>
    <t>Kelli Haynes</t>
  </si>
  <si>
    <t>CORPORATE ACH 6semju8a6j4 GUSTO CND 108588 6semju8a6j4 CND 108588GUSTO</t>
  </si>
  <si>
    <t>550-000 Freelance:550-102 Medical Writer TCE</t>
  </si>
  <si>
    <t>Checking PNC (1555)</t>
  </si>
  <si>
    <t>06/12/2023</t>
  </si>
  <si>
    <t>Heidi Veillette</t>
  </si>
  <si>
    <t>CORPORATE ACH 6semjue8dt1 GUSTO ICD 667430 6semjue8dt1 ICD 667430GUSTO</t>
  </si>
  <si>
    <t>CORPORATE ACH 6semjue8kbf GUSTO CND 667449 6semjue8kbf CND 667449GUSTO</t>
  </si>
  <si>
    <t>CORPORATE ACH 6semjue8k56 GUSTO CND 667449 6semjue8k56 CND 667449GUSTO</t>
  </si>
  <si>
    <t>Jessyca Wagner</t>
  </si>
  <si>
    <t>CORPORATE ACH 6semjue8k94 GUSTO CND 667449 6semjue8k94 CND 667449GUSTO</t>
  </si>
  <si>
    <t>07/13/2023</t>
  </si>
  <si>
    <t>CORPORATE ACH 6semjulqvhb GUSTO CND 350046 6semjulqvhb CND 350046GUSTO</t>
  </si>
  <si>
    <t>07/14/2023</t>
  </si>
  <si>
    <t>CORPORATE ACH 6semjumklic GUSTO ICD 449392 6semjumklic ICD 449392GUSTO</t>
  </si>
  <si>
    <t>07/19/2023</t>
  </si>
  <si>
    <t>CORPORATE ACH 6semjungooe GUSTO ICD 531113 6semjungooe ICD 531113GUSTO</t>
  </si>
  <si>
    <t>08/07/2023</t>
  </si>
  <si>
    <t>CORPORATE ACH 6semjusa4iv GUSTO CND 961472 6semjusa4iv CND 961472GUSTO</t>
  </si>
  <si>
    <t>Mark Bowes</t>
  </si>
  <si>
    <t>CORPORATE ACH 6semjusa4ni GUSTO CND 961472 6semjusa4ni CND 961472GUSTO</t>
  </si>
  <si>
    <t>08/30/2023</t>
  </si>
  <si>
    <t>CORPORATE ACH 6semjv1fevh GUSTO CND 456149 6semjv1fevh CND 456149GUSTO</t>
  </si>
  <si>
    <t>CORPORATE ACH 6semjv1dmhq GUSTO ICD 456028 6semjv1dmhq ICD 456028GUSTO</t>
  </si>
  <si>
    <t>10/31/2023</t>
  </si>
  <si>
    <t>CORPORATE ACH 6semjvh2mel GUSTO CND 984175 6semjvh2mel CND 984175GUSTO</t>
  </si>
  <si>
    <t>CORPORATE ACH 6semjvh1hue GUSTO ICD 984176 6semjvh1hue ICD 984176GUSTO</t>
  </si>
  <si>
    <t>11/22/2023</t>
  </si>
  <si>
    <t>CORPORATE ACH 6semjvmp4nf GUSTO CND 490631 6semjvmp4nf CND 490631GUSTO</t>
  </si>
  <si>
    <t>CORPORATE ACH 6semjvmo0m3 GUSTO ICD 495972 6semjvmo0m3 ICD 495972GUSTO</t>
  </si>
  <si>
    <t>02/07/2024</t>
  </si>
  <si>
    <t>CORPORATE ACH 6semk0b0q2j GUSTO ICD 359000 6semk0b0q2j ICD 359000GUSTO</t>
  </si>
  <si>
    <t>02/26/2024</t>
  </si>
  <si>
    <t>CORPORATE ACH 6semk0fcjhn GUSTO CND 791502 6semk0fcjhn CND 791502GUSTO</t>
  </si>
  <si>
    <t>05/02/2024</t>
  </si>
  <si>
    <t>CORPORATE ACH 6semk11saep GUSTO ICD 791505 6semk11saep ICD 791505GUSTO</t>
  </si>
  <si>
    <t>12/05/2024</t>
  </si>
  <si>
    <t>CORPORATE ACH 6semk309ic4 GUSTO ICD 289907 6semk309ic4 ICD 289907GUSTO</t>
  </si>
  <si>
    <t>Total for 550-102 Medical Writer TCE</t>
  </si>
  <si>
    <t>Total for 550-000 Freelance with sub-accounts</t>
  </si>
  <si>
    <t>TOTAL</t>
  </si>
  <si>
    <t>Transaction date</t>
  </si>
  <si>
    <t>Transaction type</t>
  </si>
  <si>
    <t>Num</t>
  </si>
  <si>
    <t>Name</t>
  </si>
  <si>
    <t>Memo/Description</t>
  </si>
  <si>
    <t>Account full name</t>
  </si>
  <si>
    <t>Item split account</t>
  </si>
  <si>
    <t>Amount</t>
  </si>
  <si>
    <t>Balance</t>
  </si>
  <si>
    <t>Accrual Basis Sunday, February 22, 2026 05:55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</si>
</sst>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34"/>
  <sheetViews>
    <sheetView tabSelected="1" workbookViewId="0" topLeftCell="A1"/>
  </sheetViews>
  <sheetFormatPr defaultColWidth="11.255" defaultRowHeight="16" outlineLevelRow="2"/>
  <cols>
    <col min="1" max="1" width="39.25" style="27" customWidth="1"/>
    <col min="2" max="3" width="14.375" style="27" customWidth="1"/>
    <col min="4" max="4" width="7.5" style="27" customWidth="1"/>
    <col min="5" max="5" width="13.5" style="27" customWidth="1"/>
    <col min="6" max="6" width="60.75" style="27" customWidth="1"/>
    <col min="7" max="7" width="38.5" style="27" customWidth="1"/>
    <col min="8" max="8" width="17" style="27" customWidth="1"/>
    <col min="9" max="10" width="7.5" style="27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2:10" ht="16">
      <c r="B5" s="29" t="s">
        <v>49</v>
      </c>
      <c r="C5" s="29" t="s">
        <v>50</v>
      </c>
      <c r="D5" s="29" t="s">
        <v>51</v>
      </c>
      <c r="E5" s="29" t="s">
        <v>52</v>
      </c>
      <c r="F5" s="29" t="s">
        <v>53</v>
      </c>
      <c r="G5" s="29" t="s">
        <v>54</v>
      </c>
      <c r="H5" s="29" t="s">
        <v>55</v>
      </c>
      <c r="I5" s="29" t="s">
        <v>56</v>
      </c>
      <c r="J5" s="29" t="s">
        <v>57</v>
      </c>
    </row>
    <row r="6" spans="1:1" ht="16">
      <c r="A6" s="35" t="s">
        <v>3</v>
      </c>
    </row>
    <row r="7" spans="1:1" ht="16" outlineLevel="1">
      <c r="A7" s="36" t="s">
        <v>4</v>
      </c>
    </row>
    <row r="8" spans="2:10" ht="16" outlineLevel="2">
      <c r="B8" s="25" t="s">
        <v>5</v>
      </c>
      <c r="C8" s="25" t="s">
        <v>6</v>
      </c>
      <c r="D8" s="25" t="s">
        <v>7</v>
      </c>
      <c r="E8" s="25" t="s">
        <v>8</v>
      </c>
      <c r="F8" s="25" t="s">
        <v>9</v>
      </c>
      <c r="G8" s="25" t="s">
        <v>10</v>
      </c>
      <c r="H8" s="25" t="s">
        <v>11</v>
      </c>
      <c r="I8" s="30">
        <v>1250.0</v>
      </c>
      <c r="J8" s="30">
        <v>1250.0</v>
      </c>
    </row>
    <row r="9" spans="2:10" ht="16" outlineLevel="2">
      <c r="B9" s="25" t="s">
        <v>12</v>
      </c>
      <c r="C9" s="25" t="s">
        <v>6</v>
      </c>
      <c r="D9" s="25" t="s">
        <v>7</v>
      </c>
      <c r="E9" s="25" t="s">
        <v>13</v>
      </c>
      <c r="F9" s="25" t="s">
        <v>14</v>
      </c>
      <c r="G9" s="25" t="s">
        <v>10</v>
      </c>
      <c r="H9" s="25" t="s">
        <v>11</v>
      </c>
      <c r="I9" s="30">
        <v>1300.0</v>
      </c>
      <c r="J9" s="30">
        <v>2550.0</v>
      </c>
    </row>
    <row r="10" spans="2:10" ht="16" outlineLevel="2">
      <c r="B10" s="25" t="s">
        <v>12</v>
      </c>
      <c r="C10" s="25" t="s">
        <v>6</v>
      </c>
      <c r="D10" s="25" t="s">
        <v>7</v>
      </c>
      <c r="E10" s="25" t="s">
        <v>8</v>
      </c>
      <c r="F10" s="25" t="s">
        <v>15</v>
      </c>
      <c r="G10" s="25" t="s">
        <v>10</v>
      </c>
      <c r="H10" s="25" t="s">
        <v>11</v>
      </c>
      <c r="I10" s="30">
        <v>2000.0</v>
      </c>
      <c r="J10" s="30">
        <v>4550.0</v>
      </c>
    </row>
    <row r="11" spans="2:10" ht="16" outlineLevel="2">
      <c r="B11" s="25" t="s">
        <v>12</v>
      </c>
      <c r="C11" s="25" t="s">
        <v>6</v>
      </c>
      <c r="D11" s="25" t="s">
        <v>7</v>
      </c>
      <c r="E11" s="25" t="s">
        <v>8</v>
      </c>
      <c r="F11" s="25" t="s">
        <v>16</v>
      </c>
      <c r="G11" s="25" t="s">
        <v>10</v>
      </c>
      <c r="H11" s="25" t="s">
        <v>11</v>
      </c>
      <c r="I11" s="30">
        <v>2000.0</v>
      </c>
      <c r="J11" s="30">
        <v>6550.0</v>
      </c>
    </row>
    <row r="12" spans="2:10" ht="16" outlineLevel="2">
      <c r="B12" s="25" t="s">
        <v>12</v>
      </c>
      <c r="C12" s="25" t="s">
        <v>6</v>
      </c>
      <c r="D12" s="25" t="s">
        <v>7</v>
      </c>
      <c r="E12" s="25" t="s">
        <v>17</v>
      </c>
      <c r="F12" s="25" t="s">
        <v>18</v>
      </c>
      <c r="G12" s="25" t="s">
        <v>10</v>
      </c>
      <c r="H12" s="25" t="s">
        <v>11</v>
      </c>
      <c r="I12" s="30">
        <v>6000.0</v>
      </c>
      <c r="J12" s="30">
        <v>12550.0</v>
      </c>
    </row>
    <row r="13" spans="2:10" ht="16" outlineLevel="2">
      <c r="B13" s="25" t="s">
        <v>19</v>
      </c>
      <c r="C13" s="25" t="s">
        <v>6</v>
      </c>
      <c r="D13" s="25" t="s">
        <v>7</v>
      </c>
      <c r="E13" s="25" t="s">
        <v>17</v>
      </c>
      <c r="F13" s="25" t="s">
        <v>20</v>
      </c>
      <c r="G13" s="25" t="s">
        <v>10</v>
      </c>
      <c r="H13" s="25" t="s">
        <v>11</v>
      </c>
      <c r="I13" s="30">
        <v>3000.0</v>
      </c>
      <c r="J13" s="30">
        <v>15550.0</v>
      </c>
    </row>
    <row r="14" spans="2:10" ht="16" outlineLevel="2">
      <c r="B14" s="25" t="s">
        <v>21</v>
      </c>
      <c r="C14" s="25" t="s">
        <v>6</v>
      </c>
      <c r="D14" s="25" t="s">
        <v>7</v>
      </c>
      <c r="E14" s="25" t="s">
        <v>13</v>
      </c>
      <c r="F14" s="25" t="s">
        <v>22</v>
      </c>
      <c r="G14" s="25" t="s">
        <v>10</v>
      </c>
      <c r="H14" s="25" t="s">
        <v>11</v>
      </c>
      <c r="I14" s="30">
        <v>2500.0</v>
      </c>
      <c r="J14" s="30">
        <v>18050.0</v>
      </c>
    </row>
    <row r="15" spans="2:10" ht="16" outlineLevel="2">
      <c r="B15" s="25" t="s">
        <v>23</v>
      </c>
      <c r="C15" s="25" t="s">
        <v>6</v>
      </c>
      <c r="D15" s="25" t="s">
        <v>7</v>
      </c>
      <c r="E15" s="25" t="s">
        <v>13</v>
      </c>
      <c r="F15" s="25" t="s">
        <v>24</v>
      </c>
      <c r="G15" s="25" t="s">
        <v>10</v>
      </c>
      <c r="H15" s="25" t="s">
        <v>11</v>
      </c>
      <c r="I15" s="30">
        <v>3750.0</v>
      </c>
      <c r="J15" s="30">
        <v>21800.0</v>
      </c>
    </row>
    <row r="16" spans="2:10" ht="16" outlineLevel="2">
      <c r="B16" s="25" t="s">
        <v>25</v>
      </c>
      <c r="C16" s="25" t="s">
        <v>6</v>
      </c>
      <c r="D16" s="25" t="s">
        <v>7</v>
      </c>
      <c r="E16" s="25" t="s">
        <v>8</v>
      </c>
      <c r="F16" s="25" t="s">
        <v>26</v>
      </c>
      <c r="G16" s="25" t="s">
        <v>10</v>
      </c>
      <c r="H16" s="25" t="s">
        <v>11</v>
      </c>
      <c r="I16" s="30">
        <v>2000.0</v>
      </c>
      <c r="J16" s="30">
        <v>23800.0</v>
      </c>
    </row>
    <row r="17" spans="2:10" ht="16" outlineLevel="2">
      <c r="B17" s="25" t="s">
        <v>25</v>
      </c>
      <c r="C17" s="25" t="s">
        <v>6</v>
      </c>
      <c r="D17" s="25" t="s">
        <v>7</v>
      </c>
      <c r="E17" s="25" t="s">
        <v>27</v>
      </c>
      <c r="F17" s="25" t="s">
        <v>28</v>
      </c>
      <c r="G17" s="25" t="s">
        <v>10</v>
      </c>
      <c r="H17" s="25" t="s">
        <v>11</v>
      </c>
      <c r="I17" s="30">
        <v>6000.0</v>
      </c>
      <c r="J17" s="30">
        <v>29800.0</v>
      </c>
    </row>
    <row r="18" spans="2:10" ht="16" outlineLevel="2">
      <c r="B18" s="25" t="s">
        <v>29</v>
      </c>
      <c r="C18" s="25" t="s">
        <v>6</v>
      </c>
      <c r="D18" s="25" t="s">
        <v>7</v>
      </c>
      <c r="E18" s="25" t="s">
        <v>17</v>
      </c>
      <c r="F18" s="25" t="s">
        <v>30</v>
      </c>
      <c r="G18" s="25" t="s">
        <v>10</v>
      </c>
      <c r="H18" s="25" t="s">
        <v>11</v>
      </c>
      <c r="I18" s="30">
        <v>3000.0</v>
      </c>
      <c r="J18" s="30">
        <v>32800.0</v>
      </c>
    </row>
    <row r="19" spans="2:10" ht="16" outlineLevel="2">
      <c r="B19" s="25" t="s">
        <v>29</v>
      </c>
      <c r="C19" s="25" t="s">
        <v>6</v>
      </c>
      <c r="D19" s="25" t="s">
        <v>7</v>
      </c>
      <c r="E19" s="25" t="s">
        <v>13</v>
      </c>
      <c r="F19" s="25" t="s">
        <v>31</v>
      </c>
      <c r="G19" s="25" t="s">
        <v>10</v>
      </c>
      <c r="H19" s="25" t="s">
        <v>11</v>
      </c>
      <c r="I19" s="30">
        <v>5600.0</v>
      </c>
      <c r="J19" s="30">
        <v>38400.0</v>
      </c>
    </row>
    <row r="20" spans="2:10" ht="16" outlineLevel="2">
      <c r="B20" s="25" t="s">
        <v>32</v>
      </c>
      <c r="C20" s="25" t="s">
        <v>6</v>
      </c>
      <c r="D20" s="25" t="s">
        <v>7</v>
      </c>
      <c r="E20" s="25" t="s">
        <v>17</v>
      </c>
      <c r="F20" s="25" t="s">
        <v>33</v>
      </c>
      <c r="G20" s="25" t="s">
        <v>10</v>
      </c>
      <c r="H20" s="25" t="s">
        <v>11</v>
      </c>
      <c r="I20" s="30">
        <v>3000.0</v>
      </c>
      <c r="J20" s="30">
        <v>41400.0</v>
      </c>
    </row>
    <row r="21" spans="2:10" ht="16" outlineLevel="2">
      <c r="B21" s="25" t="s">
        <v>32</v>
      </c>
      <c r="C21" s="25" t="s">
        <v>6</v>
      </c>
      <c r="D21" s="25" t="s">
        <v>7</v>
      </c>
      <c r="E21" s="25" t="s">
        <v>13</v>
      </c>
      <c r="F21" s="25" t="s">
        <v>34</v>
      </c>
      <c r="G21" s="25" t="s">
        <v>10</v>
      </c>
      <c r="H21" s="25" t="s">
        <v>11</v>
      </c>
      <c r="I21" s="30">
        <v>3750.0</v>
      </c>
      <c r="J21" s="30">
        <v>45150.0</v>
      </c>
    </row>
    <row r="22" spans="2:10" ht="16" outlineLevel="2">
      <c r="B22" s="25" t="s">
        <v>35</v>
      </c>
      <c r="C22" s="25" t="s">
        <v>6</v>
      </c>
      <c r="D22" s="25" t="s">
        <v>7</v>
      </c>
      <c r="E22" s="25" t="s">
        <v>27</v>
      </c>
      <c r="F22" s="25" t="s">
        <v>36</v>
      </c>
      <c r="G22" s="25" t="s">
        <v>10</v>
      </c>
      <c r="H22" s="25" t="s">
        <v>11</v>
      </c>
      <c r="I22" s="30">
        <v>4000.0</v>
      </c>
      <c r="J22" s="30">
        <v>49150.0</v>
      </c>
    </row>
    <row r="23" spans="2:10" ht="16" outlineLevel="2">
      <c r="B23" s="25" t="s">
        <v>35</v>
      </c>
      <c r="C23" s="25" t="s">
        <v>6</v>
      </c>
      <c r="D23" s="25" t="s">
        <v>7</v>
      </c>
      <c r="E23" s="25" t="s">
        <v>13</v>
      </c>
      <c r="F23" s="25" t="s">
        <v>37</v>
      </c>
      <c r="G23" s="25" t="s">
        <v>10</v>
      </c>
      <c r="H23" s="25" t="s">
        <v>11</v>
      </c>
      <c r="I23" s="30">
        <v>5600.0</v>
      </c>
      <c r="J23" s="30">
        <v>54750.0</v>
      </c>
    </row>
    <row r="24" spans="2:10" ht="16" outlineLevel="2">
      <c r="B24" s="25" t="s">
        <v>38</v>
      </c>
      <c r="C24" s="25" t="s">
        <v>6</v>
      </c>
      <c r="D24" s="25" t="s">
        <v>7</v>
      </c>
      <c r="E24" s="25" t="s">
        <v>13</v>
      </c>
      <c r="F24" s="25" t="s">
        <v>39</v>
      </c>
      <c r="G24" s="25" t="s">
        <v>10</v>
      </c>
      <c r="H24" s="25" t="s">
        <v>11</v>
      </c>
      <c r="I24" s="30">
        <v>5600.0</v>
      </c>
      <c r="J24" s="30">
        <v>60350.0</v>
      </c>
    </row>
    <row r="25" spans="2:10" ht="16" outlineLevel="2">
      <c r="B25" s="25" t="s">
        <v>40</v>
      </c>
      <c r="C25" s="25" t="s">
        <v>6</v>
      </c>
      <c r="D25" s="25" t="s">
        <v>7</v>
      </c>
      <c r="E25" s="25" t="s">
        <v>27</v>
      </c>
      <c r="F25" s="25" t="s">
        <v>41</v>
      </c>
      <c r="G25" s="25" t="s">
        <v>10</v>
      </c>
      <c r="H25" s="25" t="s">
        <v>11</v>
      </c>
      <c r="I25" s="30">
        <v>4000.0</v>
      </c>
      <c r="J25" s="30">
        <v>64350.0</v>
      </c>
    </row>
    <row r="26" spans="2:10" ht="16" outlineLevel="2">
      <c r="B26" s="25" t="s">
        <v>42</v>
      </c>
      <c r="C26" s="25" t="s">
        <v>6</v>
      </c>
      <c r="D26" s="25" t="s">
        <v>7</v>
      </c>
      <c r="E26" s="25" t="s">
        <v>13</v>
      </c>
      <c r="F26" s="25" t="s">
        <v>43</v>
      </c>
      <c r="G26" s="25" t="s">
        <v>10</v>
      </c>
      <c r="H26" s="25" t="s">
        <v>11</v>
      </c>
      <c r="I26" s="30">
        <v>5600.0</v>
      </c>
      <c r="J26" s="30">
        <v>69950.0</v>
      </c>
    </row>
    <row r="27" spans="2:10" ht="16" outlineLevel="2">
      <c r="B27" s="25" t="s">
        <v>44</v>
      </c>
      <c r="C27" s="25" t="s">
        <v>6</v>
      </c>
      <c r="D27" s="25" t="s">
        <v>7</v>
      </c>
      <c r="E27" s="25" t="s">
        <v>13</v>
      </c>
      <c r="F27" s="25" t="s">
        <v>45</v>
      </c>
      <c r="G27" s="25" t="s">
        <v>10</v>
      </c>
      <c r="H27" s="25" t="s">
        <v>11</v>
      </c>
      <c r="I27" s="30">
        <v>6650.0</v>
      </c>
      <c r="J27" s="30">
        <v>76600.0</v>
      </c>
    </row>
    <row r="28" spans="1:9" ht="16" outlineLevel="1">
      <c r="A28" s="37" t="s">
        <v>46</v>
      </c>
      <c r="I28" s="31">
        <f>I7+I8+I9+I10+I11+I12+I13+I14+I15+I16+I17+I18+I19+I20+I21+I22+I23+I24+I25+I26+I27</f>
        <v>76600.0</v>
      </c>
    </row>
    <row r="29" spans="1:9" ht="16">
      <c r="A29" s="38" t="s">
        <v>47</v>
      </c>
      <c r="I29" s="31">
        <f>I28</f>
        <v>76600.0</v>
      </c>
    </row>
    <row r="30" spans="2:9" ht="16">
      <c r="B30" s="26" t="s">
        <v>48</v>
      </c>
      <c r="I30" s="31">
        <v>76600.0</v>
      </c>
    </row>
    <row r="34" spans="1:1" ht="16">
      <c r="A34" s="39" t="s">
        <v>58</v>
      </c>
    </row>
  </sheetData>
  <mergeCells count="4">
    <mergeCell ref="A1:I1"/>
    <mergeCell ref="A2:I2"/>
    <mergeCell ref="A3:I3"/>
    <mergeCell ref="A34:I3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