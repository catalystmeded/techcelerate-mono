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1" l="1"/>
</calcChain>
</file>

<file path=xl/sharedStrings.xml><?xml version="1.0" encoding="utf-8"?>
<sst xmlns="http://schemas.openxmlformats.org/spreadsheetml/2006/main" count="88" uniqueCount="30">
  <si>
    <t>Transaction Report</t>
  </si>
  <si>
    <t>Catalyst Medical Education, LLC</t>
  </si>
  <si>
    <t>All Dates</t>
  </si>
  <si>
    <t>550-000 Freelance</t>
  </si>
  <si>
    <t>550-104 Editorial TCE</t>
  </si>
  <si>
    <t>08/07/2023</t>
  </si>
  <si>
    <t>Expense</t>
  </si>
  <si>
    <t/>
  </si>
  <si>
    <t>LS Editorial Solutions, LLC</t>
  </si>
  <si>
    <t>CORPORATE ACH 6semjusa4sl GUSTO CND 961472 6semjusa4sl CND 961472GUSTO</t>
  </si>
  <si>
    <t>550-000 Freelance:550-104 Editorial TCE</t>
  </si>
  <si>
    <t>Checking PNC (1555)</t>
  </si>
  <si>
    <t>CORPORATE ACH 6semjusa4s5 GUSTO CND 961472 6semjusa4s5 CND 961472GUSTO</t>
  </si>
  <si>
    <t>09/20/2023</t>
  </si>
  <si>
    <t>CORPORATE ACH 6semjv6uq5q GUSTO CND 007275 6semjv6uq5q CND 007275GUSTO</t>
  </si>
  <si>
    <t>12/19/2023</t>
  </si>
  <si>
    <t>CORPORATE ACH 6semjvtcrbd GUSTO CND 119041 6semjvtcrbd CND 119041GUSTO</t>
  </si>
  <si>
    <t>Total for 550-104 Editorial TCE</t>
  </si>
  <si>
    <t>Total for 550-000 Freelance with sub-accounts</t>
  </si>
  <si>
    <t>TOTAL</t>
  </si>
  <si>
    <t>Transaction date</t>
  </si>
  <si>
    <t>Transaction type</t>
  </si>
  <si>
    <t>Num</t>
  </si>
  <si>
    <t>Name</t>
  </si>
  <si>
    <t>Memo/Description</t>
  </si>
  <si>
    <t>Account full name</t>
  </si>
  <si>
    <t>Item split account</t>
  </si>
  <si>
    <t>Amount</t>
  </si>
  <si>
    <t>Balance</t>
  </si>
  <si>
    <t>Accrual Basis Sunday, February 22, 2026 05:56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</si>
</sst>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0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2" xfId="0" applyFont="1" applyBorder="1"/>
    <xf numFmtId="0" fontId="4" fillId="0" borderId="2" xfId="0" applyFont="1" applyBorder="1"/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1" xfId="20" applyFont="1" applyBorder="1" applyAlignment="1">
      <alignment wrapText="1"/>
      <protection/>
    </xf>
    <xf numFmtId="0" fontId="8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J24"/>
  <sheetViews>
    <sheetView tabSelected="1" workbookViewId="0" topLeftCell="A1"/>
  </sheetViews>
  <sheetFormatPr defaultColWidth="11.255" defaultRowHeight="16" outlineLevelRow="2"/>
  <cols>
    <col min="1" max="1" width="39.25" style="27" customWidth="1"/>
    <col min="2" max="3" width="14.375" style="27" customWidth="1"/>
    <col min="4" max="4" width="7.5" style="27" customWidth="1"/>
    <col min="5" max="5" width="23.875" style="27" customWidth="1"/>
    <col min="6" max="6" width="60.75" style="27" customWidth="1"/>
    <col min="7" max="7" width="34.125" style="27" customWidth="1"/>
    <col min="8" max="8" width="17" style="27" customWidth="1"/>
    <col min="9" max="10" width="7.5" style="27" customWidth="1"/>
  </cols>
  <sheetData>
    <row r="1" spans="1:1" ht="16">
      <c r="A1" s="32" t="s">
        <v>0</v>
      </c>
    </row>
    <row r="2" spans="1:1" ht="16">
      <c r="A2" s="33" t="s">
        <v>1</v>
      </c>
    </row>
    <row r="3" spans="1:1" ht="16">
      <c r="A3" s="34" t="s">
        <v>2</v>
      </c>
    </row>
    <row r="5" spans="2:10" ht="16">
      <c r="B5" s="29" t="s">
        <v>20</v>
      </c>
      <c r="C5" s="29" t="s">
        <v>21</v>
      </c>
      <c r="D5" s="29" t="s">
        <v>22</v>
      </c>
      <c r="E5" s="29" t="s">
        <v>23</v>
      </c>
      <c r="F5" s="29" t="s">
        <v>24</v>
      </c>
      <c r="G5" s="29" t="s">
        <v>25</v>
      </c>
      <c r="H5" s="29" t="s">
        <v>26</v>
      </c>
      <c r="I5" s="29" t="s">
        <v>27</v>
      </c>
      <c r="J5" s="29" t="s">
        <v>28</v>
      </c>
    </row>
    <row r="6" spans="1:1" ht="16">
      <c r="A6" s="35" t="s">
        <v>3</v>
      </c>
    </row>
    <row r="7" spans="1:1" ht="16" outlineLevel="1">
      <c r="A7" s="36" t="s">
        <v>4</v>
      </c>
    </row>
    <row r="8" spans="2:10" ht="16" outlineLevel="2">
      <c r="B8" s="25" t="s">
        <v>5</v>
      </c>
      <c r="C8" s="25" t="s">
        <v>6</v>
      </c>
      <c r="D8" s="25" t="s">
        <v>7</v>
      </c>
      <c r="E8" s="25" t="s">
        <v>8</v>
      </c>
      <c r="F8" s="25" t="s">
        <v>9</v>
      </c>
      <c r="G8" s="25" t="s">
        <v>10</v>
      </c>
      <c r="H8" s="25" t="s">
        <v>11</v>
      </c>
      <c r="I8" s="30">
        <v>807.5</v>
      </c>
      <c r="J8" s="30">
        <v>807.5</v>
      </c>
    </row>
    <row r="9" spans="2:10" ht="16" outlineLevel="2">
      <c r="B9" s="25" t="s">
        <v>5</v>
      </c>
      <c r="C9" s="25" t="s">
        <v>6</v>
      </c>
      <c r="D9" s="25" t="s">
        <v>7</v>
      </c>
      <c r="E9" s="25" t="s">
        <v>8</v>
      </c>
      <c r="F9" s="25" t="s">
        <v>9</v>
      </c>
      <c r="G9" s="25" t="s">
        <v>10</v>
      </c>
      <c r="H9" s="25" t="s">
        <v>11</v>
      </c>
      <c r="I9" s="30">
        <v>712.5</v>
      </c>
      <c r="J9" s="30">
        <v>1520.0</v>
      </c>
    </row>
    <row r="10" spans="2:10" ht="16" outlineLevel="2">
      <c r="B10" s="25" t="s">
        <v>5</v>
      </c>
      <c r="C10" s="25" t="s">
        <v>6</v>
      </c>
      <c r="D10" s="25" t="s">
        <v>7</v>
      </c>
      <c r="E10" s="25" t="s">
        <v>8</v>
      </c>
      <c r="F10" s="25" t="s">
        <v>12</v>
      </c>
      <c r="G10" s="25" t="s">
        <v>10</v>
      </c>
      <c r="H10" s="25" t="s">
        <v>11</v>
      </c>
      <c r="I10" s="30">
        <v>807.5</v>
      </c>
      <c r="J10" s="30">
        <v>2327.5</v>
      </c>
    </row>
    <row r="11" spans="2:10" ht="16" outlineLevel="2">
      <c r="B11" s="25" t="s">
        <v>5</v>
      </c>
      <c r="C11" s="25" t="s">
        <v>6</v>
      </c>
      <c r="D11" s="25" t="s">
        <v>7</v>
      </c>
      <c r="E11" s="25" t="s">
        <v>8</v>
      </c>
      <c r="F11" s="25" t="s">
        <v>12</v>
      </c>
      <c r="G11" s="25" t="s">
        <v>10</v>
      </c>
      <c r="H11" s="25" t="s">
        <v>11</v>
      </c>
      <c r="I11" s="30">
        <v>570.0</v>
      </c>
      <c r="J11" s="30">
        <v>2897.5</v>
      </c>
    </row>
    <row r="12" spans="2:10" ht="16" outlineLevel="2">
      <c r="B12" s="25" t="s">
        <v>5</v>
      </c>
      <c r="C12" s="25" t="s">
        <v>6</v>
      </c>
      <c r="D12" s="25" t="s">
        <v>7</v>
      </c>
      <c r="E12" s="25" t="s">
        <v>8</v>
      </c>
      <c r="F12" s="25" t="s">
        <v>12</v>
      </c>
      <c r="G12" s="25" t="s">
        <v>10</v>
      </c>
      <c r="H12" s="25" t="s">
        <v>11</v>
      </c>
      <c r="I12" s="30">
        <v>855.0</v>
      </c>
      <c r="J12" s="30">
        <v>3752.5</v>
      </c>
    </row>
    <row r="13" spans="2:10" ht="16" outlineLevel="2">
      <c r="B13" s="25" t="s">
        <v>13</v>
      </c>
      <c r="C13" s="25" t="s">
        <v>6</v>
      </c>
      <c r="D13" s="25" t="s">
        <v>7</v>
      </c>
      <c r="E13" s="25" t="s">
        <v>8</v>
      </c>
      <c r="F13" s="25" t="s">
        <v>14</v>
      </c>
      <c r="G13" s="25" t="s">
        <v>10</v>
      </c>
      <c r="H13" s="25" t="s">
        <v>11</v>
      </c>
      <c r="I13" s="30">
        <v>475.0</v>
      </c>
      <c r="J13" s="30">
        <v>4227.5</v>
      </c>
    </row>
    <row r="14" spans="2:10" ht="16" outlineLevel="2">
      <c r="B14" s="25" t="s">
        <v>13</v>
      </c>
      <c r="C14" s="25" t="s">
        <v>6</v>
      </c>
      <c r="D14" s="25" t="s">
        <v>7</v>
      </c>
      <c r="E14" s="25" t="s">
        <v>8</v>
      </c>
      <c r="F14" s="25" t="s">
        <v>14</v>
      </c>
      <c r="G14" s="25" t="s">
        <v>10</v>
      </c>
      <c r="H14" s="25" t="s">
        <v>11</v>
      </c>
      <c r="I14" s="30">
        <v>522.5</v>
      </c>
      <c r="J14" s="30">
        <v>4750.0</v>
      </c>
    </row>
    <row r="15" spans="2:10" ht="16" outlineLevel="2">
      <c r="B15" s="25" t="s">
        <v>13</v>
      </c>
      <c r="C15" s="25" t="s">
        <v>6</v>
      </c>
      <c r="D15" s="25" t="s">
        <v>7</v>
      </c>
      <c r="E15" s="25" t="s">
        <v>8</v>
      </c>
      <c r="F15" s="25" t="s">
        <v>14</v>
      </c>
      <c r="G15" s="25" t="s">
        <v>10</v>
      </c>
      <c r="H15" s="25" t="s">
        <v>11</v>
      </c>
      <c r="I15" s="30">
        <v>475.0</v>
      </c>
      <c r="J15" s="30">
        <v>5225.0</v>
      </c>
    </row>
    <row r="16" spans="2:10" ht="16" outlineLevel="2">
      <c r="B16" s="25" t="s">
        <v>13</v>
      </c>
      <c r="C16" s="25" t="s">
        <v>6</v>
      </c>
      <c r="D16" s="25" t="s">
        <v>7</v>
      </c>
      <c r="E16" s="25" t="s">
        <v>8</v>
      </c>
      <c r="F16" s="25" t="s">
        <v>14</v>
      </c>
      <c r="G16" s="25" t="s">
        <v>10</v>
      </c>
      <c r="H16" s="25" t="s">
        <v>11</v>
      </c>
      <c r="I16" s="30">
        <v>332.5</v>
      </c>
      <c r="J16" s="30">
        <v>5557.5</v>
      </c>
    </row>
    <row r="17" spans="2:10" ht="16" outlineLevel="2">
      <c r="B17" s="25" t="s">
        <v>15</v>
      </c>
      <c r="C17" s="25" t="s">
        <v>6</v>
      </c>
      <c r="D17" s="25" t="s">
        <v>7</v>
      </c>
      <c r="E17" s="25" t="s">
        <v>8</v>
      </c>
      <c r="F17" s="25" t="s">
        <v>16</v>
      </c>
      <c r="G17" s="25" t="s">
        <v>10</v>
      </c>
      <c r="H17" s="25" t="s">
        <v>11</v>
      </c>
      <c r="I17" s="30">
        <v>1045.0</v>
      </c>
      <c r="J17" s="30">
        <v>6602.5</v>
      </c>
    </row>
    <row r="18" spans="1:9" ht="16" outlineLevel="1">
      <c r="A18" s="37" t="s">
        <v>17</v>
      </c>
      <c r="I18" s="31">
        <f>I7+I8+I9+I10+I11+I12+I13+I14+I15+I16+I17</f>
        <v>6602.5</v>
      </c>
    </row>
    <row r="19" spans="1:9" ht="16">
      <c r="A19" s="38" t="s">
        <v>18</v>
      </c>
      <c r="I19" s="31">
        <f>I18</f>
        <v>6602.5</v>
      </c>
    </row>
    <row r="20" spans="2:9" ht="16">
      <c r="B20" s="26" t="s">
        <v>19</v>
      </c>
      <c r="I20" s="31">
        <v>6602.5</v>
      </c>
    </row>
    <row r="24" spans="1:1" ht="16">
      <c r="A24" s="39" t="s">
        <v>29</v>
      </c>
    </row>
  </sheetData>
  <mergeCells count="4">
    <mergeCell ref="A1:I1"/>
    <mergeCell ref="A2:I2"/>
    <mergeCell ref="A3:I3"/>
    <mergeCell ref="A24:I2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