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LouisSettembrino\OneDrive - Catalyst\Desktop\TechCElerate\"/>
    </mc:Choice>
  </mc:AlternateContent>
  <xr:revisionPtr revIDLastSave="0" documentId="8_{59C7B98B-1E3B-4A83-A280-233F5A52EF5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E51" i="1" s="1"/>
  <c r="C49" i="1"/>
  <c r="E49" i="1" s="1"/>
  <c r="C50" i="1"/>
  <c r="E50" i="1" s="1"/>
  <c r="C27" i="1"/>
  <c r="C26" i="1"/>
  <c r="C25" i="1"/>
  <c r="C24" i="1"/>
  <c r="C23" i="1"/>
  <c r="C22" i="1"/>
  <c r="C19" i="1"/>
  <c r="C18" i="1"/>
  <c r="C17" i="1"/>
  <c r="C16" i="1"/>
  <c r="B25" i="1"/>
  <c r="B26" i="1"/>
  <c r="B27" i="1"/>
  <c r="B22" i="1"/>
  <c r="B23" i="1"/>
  <c r="B24" i="1"/>
  <c r="D26" i="1" l="1"/>
  <c r="D25" i="1"/>
  <c r="D27" i="1"/>
  <c r="D24" i="1"/>
  <c r="D23" i="1"/>
  <c r="D22" i="1"/>
  <c r="G24" i="1"/>
  <c r="G25" i="1" s="1"/>
  <c r="G9" i="1"/>
  <c r="G10" i="1" s="1"/>
  <c r="B19" i="1"/>
  <c r="D19" i="1" s="1"/>
  <c r="B18" i="1"/>
  <c r="D18" i="1" s="1"/>
  <c r="B17" i="1"/>
  <c r="D17" i="1" s="1"/>
  <c r="D16" i="1"/>
  <c r="D9" i="1"/>
  <c r="D6" i="1"/>
  <c r="D5" i="1"/>
  <c r="D4" i="1"/>
  <c r="C8" i="1" l="1"/>
  <c r="D8" i="1" s="1"/>
  <c r="C7" i="1"/>
  <c r="D7" i="1" s="1"/>
  <c r="H10" i="1"/>
  <c r="D11" i="1" l="1"/>
</calcChain>
</file>

<file path=xl/sharedStrings.xml><?xml version="1.0" encoding="utf-8"?>
<sst xmlns="http://schemas.openxmlformats.org/spreadsheetml/2006/main" count="51" uniqueCount="45">
  <si>
    <t>Example Launch Budget</t>
  </si>
  <si>
    <t>Units</t>
  </si>
  <si>
    <t>Cost</t>
  </si>
  <si>
    <t>Total</t>
  </si>
  <si>
    <t>Course Breakdown (1/2 Credit)</t>
  </si>
  <si>
    <t>Company Setup Etc (legal banks etc)</t>
  </si>
  <si>
    <t>Writer</t>
  </si>
  <si>
    <t>Can we bundle Writer/editor/ honoraria and get a few people to do multiple courses?</t>
  </si>
  <si>
    <t>Website Setup (Doug, Wordpress, LMS)</t>
  </si>
  <si>
    <t>Editorial</t>
  </si>
  <si>
    <t>Woud love to launch 24 courses in year 1 if feasable</t>
  </si>
  <si>
    <t>Web Apps/Plugins</t>
  </si>
  <si>
    <t>ASRT CE Fees (3 years</t>
  </si>
  <si>
    <t>Courses - 1/2 Credit</t>
  </si>
  <si>
    <t>Other?</t>
  </si>
  <si>
    <t>Courses - 1 Credit</t>
  </si>
  <si>
    <t>Per Month Marketing (SSO, FB, Email, Direct Mail)</t>
  </si>
  <si>
    <t>TOTAL</t>
  </si>
  <si>
    <t>$/C</t>
  </si>
  <si>
    <t>Total Launch $</t>
  </si>
  <si>
    <t>PRICE</t>
  </si>
  <si>
    <t>Total Market (as of 2021)
https://www.bls.gov/ooh/healthcare/radiologic-technologists.htm</t>
  </si>
  <si>
    <t>Course Breakdown (1 Credit)</t>
  </si>
  <si>
    <t>Break Even at $220k</t>
  </si>
  <si>
    <t>Catalyst to bill TechCElerate per module</t>
  </si>
  <si>
    <t>ASRT to bill TechCElerate per module</t>
  </si>
  <si>
    <t>with count down timer…</t>
  </si>
  <si>
    <t>Work on pricing thru survey…try to be the cheapest option….</t>
  </si>
  <si>
    <t>Start for Free, Join for $1??, Unlmited for $25/year, or $30 per biennum</t>
  </si>
  <si>
    <t>Strategy</t>
  </si>
  <si>
    <t>Target the younger RTs?</t>
  </si>
  <si>
    <t>Make it cooler</t>
  </si>
  <si>
    <t>Costs and Funnle</t>
  </si>
  <si>
    <t>Download our App</t>
  </si>
  <si>
    <t>Start for Free</t>
  </si>
  <si>
    <t>Launch Discounts</t>
  </si>
  <si>
    <t>Per Activity ($1 for first, $5 per additonal)</t>
  </si>
  <si>
    <t>Quick start for $10 bucks (renues January 1st 2024)</t>
  </si>
  <si>
    <t>3 years</t>
  </si>
  <si>
    <t>4 Years</t>
  </si>
  <si>
    <t>Lifetime Membership</t>
  </si>
  <si>
    <t>Become an affiliate</t>
  </si>
  <si>
    <t xml:space="preserve">What do they earn per sign up? $5? $10? </t>
  </si>
  <si>
    <t>What is our cost to aquire?</t>
  </si>
  <si>
    <t xml:space="preserve">How affiliate program works.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</si>
</sst>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2" fillId="2" borderId="0" xfId="0" applyFont="1" applyFill="1"/>
    <xf numFmtId="0" fontId="2" fillId="0" borderId="0" xfId="0" applyFont="1"/>
    <xf numFmtId="3" fontId="0" fillId="0" borderId="0" xfId="0" applyNumberFormat="1"/>
    <xf numFmtId="44" fontId="2" fillId="0" borderId="0" xfId="0" applyNumberFormat="1" applyFont="1"/>
    <xf numFmtId="6" fontId="0" fillId="0" borderId="0" xfId="0" applyNumberFormat="1"/>
    <xf numFmtId="9" fontId="0" fillId="0" borderId="0" xfId="0" applyNumberFormat="1"/>
    <xf numFmtId="8" fontId="2" fillId="0" borderId="0" xfId="0" applyNumberFormat="1" applyFont="1"/>
    <xf numFmtId="44" fontId="0" fillId="0" borderId="0" xfId="0" applyNumberFormat="1"/>
    <xf numFmtId="0" fontId="0" fillId="0" borderId="0" xfId="0" applyAlignment="1">
      <alignment wrapText="1"/>
    </xf>
    <xf numFmtId="6" fontId="0" fillId="2" borderId="0" xfId="0" applyNumberFormat="1" applyFill="1"/>
    <xf numFmtId="0" fontId="0" fillId="0" borderId="0" xfId="2" applyNumberFormat="1" applyFont="1"/>
    <xf numFmtId="9" fontId="2" fillId="2" borderId="0" xfId="0" applyNumberFormat="1" applyFont="1" applyFill="1"/>
    <xf numFmtId="6" fontId="2" fillId="2" borderId="0" xfId="0" applyNumberFormat="1" applyFont="1" applyFill="1"/>
    <xf numFmtId="9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6"/>
  <sheetViews>
    <sheetView tabSelected="1" workbookViewId="0">
      <selection activeCell="C47" sqref="C47"/>
    </sheetView>
  </sheetViews>
  <sheetFormatPr defaultRowHeight="14.65"/>
  <cols>
    <col min="1" max="1" width="60.42578125" bestFit="1" customWidth="1"/>
    <col min="2" max="2" width="7.5703125" bestFit="1" customWidth="1"/>
    <col min="3" max="3" width="11.140625" bestFit="1" customWidth="1"/>
    <col min="4" max="4" width="13.5703125" style="1" bestFit="1" customWidth="1"/>
    <col min="6" max="6" width="59.85546875" bestFit="1" customWidth="1"/>
    <col min="7" max="7" width="11.140625" bestFit="1" customWidth="1"/>
    <col min="8" max="8" width="10.140625" bestFit="1" customWidth="1"/>
    <col min="9" max="9" width="72.42578125" bestFit="1" customWidth="1"/>
  </cols>
  <sheetData>
    <row r="2" spans="1:9">
      <c r="A2" s="2" t="s">
        <v>0</v>
      </c>
      <c r="D2"/>
    </row>
    <row r="3" spans="1:9">
      <c r="B3" s="3" t="s">
        <v>1</v>
      </c>
      <c r="C3" s="3" t="s">
        <v>2</v>
      </c>
      <c r="D3" s="3" t="s">
        <v>3</v>
      </c>
      <c r="E3" s="3"/>
      <c r="F3" s="3" t="s">
        <v>4</v>
      </c>
      <c r="G3" s="12">
        <v>0.5</v>
      </c>
    </row>
    <row r="4" spans="1:9">
      <c r="A4" t="s">
        <v>5</v>
      </c>
      <c r="B4">
        <v>1</v>
      </c>
      <c r="C4" s="1">
        <v>5000</v>
      </c>
      <c r="D4" s="1">
        <f>B4*C4</f>
        <v>5000</v>
      </c>
      <c r="F4" t="s">
        <v>6</v>
      </c>
      <c r="G4" s="1">
        <v>3000</v>
      </c>
      <c r="I4" t="s">
        <v>7</v>
      </c>
    </row>
    <row r="5" spans="1:9">
      <c r="A5" t="s">
        <v>8</v>
      </c>
      <c r="B5" s="4">
        <v>1</v>
      </c>
      <c r="C5" s="1">
        <v>5000</v>
      </c>
      <c r="D5" s="1">
        <f>B5*C5</f>
        <v>5000</v>
      </c>
      <c r="F5" t="s">
        <v>9</v>
      </c>
      <c r="G5" s="1">
        <v>1000</v>
      </c>
      <c r="I5" t="s">
        <v>10</v>
      </c>
    </row>
    <row r="6" spans="1:9">
      <c r="A6" t="s">
        <v>11</v>
      </c>
      <c r="B6">
        <v>1</v>
      </c>
      <c r="C6" s="1">
        <v>10000</v>
      </c>
      <c r="D6" s="1">
        <f t="shared" ref="D6:D9" si="0">B6*C6</f>
        <v>10000</v>
      </c>
      <c r="F6" t="s">
        <v>12</v>
      </c>
      <c r="G6" s="1">
        <v>365</v>
      </c>
    </row>
    <row r="7" spans="1:9">
      <c r="A7" t="s">
        <v>13</v>
      </c>
      <c r="B7">
        <v>12</v>
      </c>
      <c r="C7" s="1">
        <f>G9</f>
        <v>5365</v>
      </c>
      <c r="D7" s="1">
        <f t="shared" si="0"/>
        <v>64380</v>
      </c>
      <c r="F7" t="s">
        <v>14</v>
      </c>
      <c r="G7" s="1">
        <v>1000</v>
      </c>
    </row>
    <row r="8" spans="1:9">
      <c r="A8" t="s">
        <v>15</v>
      </c>
      <c r="B8">
        <v>12</v>
      </c>
      <c r="C8" s="1">
        <f>G24</f>
        <v>9365</v>
      </c>
      <c r="D8" s="1">
        <f t="shared" si="0"/>
        <v>112380</v>
      </c>
      <c r="G8" s="1"/>
    </row>
    <row r="9" spans="1:9">
      <c r="A9" t="s">
        <v>16</v>
      </c>
      <c r="B9">
        <v>12</v>
      </c>
      <c r="C9" s="1">
        <v>2500</v>
      </c>
      <c r="D9" s="1">
        <f t="shared" si="0"/>
        <v>30000</v>
      </c>
      <c r="F9" t="s">
        <v>17</v>
      </c>
      <c r="G9" s="9">
        <f>SUM(G4:G8)</f>
        <v>5365</v>
      </c>
    </row>
    <row r="10" spans="1:9">
      <c r="D10"/>
      <c r="F10" t="s">
        <v>18</v>
      </c>
      <c r="G10" s="9">
        <f>G9/G3</f>
        <v>10730</v>
      </c>
      <c r="H10" s="9">
        <f>G10-G24</f>
        <v>1365</v>
      </c>
    </row>
    <row r="11" spans="1:9">
      <c r="A11" s="3" t="s">
        <v>19</v>
      </c>
      <c r="B11" s="3"/>
      <c r="C11" s="3"/>
      <c r="D11" s="5">
        <f>SUM(D5:D9)</f>
        <v>221760</v>
      </c>
      <c r="G11" s="9"/>
      <c r="H11" s="9"/>
    </row>
    <row r="12" spans="1:9">
      <c r="D12"/>
    </row>
    <row r="13" spans="1:9">
      <c r="D13"/>
    </row>
    <row r="14" spans="1:9">
      <c r="A14" t="s">
        <v>20</v>
      </c>
      <c r="B14" s="1">
        <v>35</v>
      </c>
      <c r="D14" s="9"/>
      <c r="G14" s="1"/>
    </row>
    <row r="15" spans="1:9">
      <c r="D15"/>
      <c r="G15" s="1"/>
    </row>
    <row r="16" spans="1:9" ht="29.1">
      <c r="A16" s="10" t="s">
        <v>21</v>
      </c>
      <c r="B16" s="4">
        <v>264000</v>
      </c>
      <c r="C16" s="9">
        <f>$B$14</f>
        <v>35</v>
      </c>
      <c r="D16" s="11">
        <f>B16*C16</f>
        <v>9240000</v>
      </c>
      <c r="G16" s="1"/>
    </row>
    <row r="17" spans="1:9">
      <c r="A17" s="7">
        <v>0.5</v>
      </c>
      <c r="B17">
        <f>B16*0.5</f>
        <v>132000</v>
      </c>
      <c r="C17" s="9">
        <f>$B$14</f>
        <v>35</v>
      </c>
      <c r="D17" s="6">
        <f>B17*C17</f>
        <v>4620000</v>
      </c>
    </row>
    <row r="18" spans="1:9">
      <c r="A18" s="7">
        <v>0.25</v>
      </c>
      <c r="B18">
        <f>B16*0.25</f>
        <v>66000</v>
      </c>
      <c r="C18" s="9">
        <f>$B$14</f>
        <v>35</v>
      </c>
      <c r="D18" s="6">
        <f>B18*C18</f>
        <v>2310000</v>
      </c>
      <c r="F18" s="3" t="s">
        <v>22</v>
      </c>
      <c r="G18">
        <v>1</v>
      </c>
      <c r="H18" s="4"/>
      <c r="I18" s="1"/>
    </row>
    <row r="19" spans="1:9">
      <c r="A19" s="7">
        <v>0.1</v>
      </c>
      <c r="B19">
        <f>B16*0.1</f>
        <v>26400</v>
      </c>
      <c r="C19" s="9">
        <f>$B$14</f>
        <v>35</v>
      </c>
      <c r="D19" s="6">
        <f>B19*C19</f>
        <v>924000</v>
      </c>
      <c r="F19" t="s">
        <v>6</v>
      </c>
      <c r="G19" s="1">
        <v>6000</v>
      </c>
      <c r="H19" s="4"/>
      <c r="I19" s="1"/>
    </row>
    <row r="20" spans="1:9">
      <c r="D20" s="6"/>
      <c r="F20" t="s">
        <v>9</v>
      </c>
      <c r="G20" s="1">
        <v>2000</v>
      </c>
      <c r="H20" s="4"/>
      <c r="I20" s="1"/>
    </row>
    <row r="21" spans="1:9">
      <c r="A21" s="2" t="s">
        <v>23</v>
      </c>
      <c r="C21" s="6"/>
      <c r="D21" s="6"/>
      <c r="F21" t="s">
        <v>12</v>
      </c>
      <c r="G21" s="1">
        <v>365</v>
      </c>
      <c r="H21" s="4"/>
      <c r="I21" s="1"/>
    </row>
    <row r="22" spans="1:9">
      <c r="A22" s="7">
        <v>0.15</v>
      </c>
      <c r="B22">
        <f t="shared" ref="B22:B23" si="1">A22*$B$16</f>
        <v>39600</v>
      </c>
      <c r="C22" s="9">
        <f>$B$14</f>
        <v>35</v>
      </c>
      <c r="D22" s="6">
        <f>B22*C22</f>
        <v>1386000</v>
      </c>
      <c r="F22" t="s">
        <v>14</v>
      </c>
      <c r="G22" s="1">
        <v>1000</v>
      </c>
      <c r="H22" s="4"/>
      <c r="I22" s="1"/>
    </row>
    <row r="23" spans="1:9">
      <c r="A23" s="7">
        <v>0.1</v>
      </c>
      <c r="B23">
        <f t="shared" si="1"/>
        <v>26400</v>
      </c>
      <c r="C23" s="9">
        <f>$B$14</f>
        <v>35</v>
      </c>
      <c r="D23" s="6">
        <f t="shared" ref="D23:D24" si="2">B23*C23</f>
        <v>924000</v>
      </c>
      <c r="G23" s="1"/>
      <c r="H23" s="4"/>
      <c r="I23" s="1"/>
    </row>
    <row r="24" spans="1:9">
      <c r="A24" s="7">
        <v>0.05</v>
      </c>
      <c r="B24">
        <f>A24*$B$16</f>
        <v>13200</v>
      </c>
      <c r="C24" s="9">
        <f>$B$14</f>
        <v>35</v>
      </c>
      <c r="D24" s="6">
        <f t="shared" si="2"/>
        <v>462000</v>
      </c>
      <c r="F24" t="s">
        <v>17</v>
      </c>
      <c r="G24" s="9">
        <f>SUM(G19:G23)</f>
        <v>9365</v>
      </c>
      <c r="H24" s="4"/>
      <c r="I24" s="1"/>
    </row>
    <row r="25" spans="1:9">
      <c r="A25" s="13">
        <v>0.03</v>
      </c>
      <c r="B25" s="2">
        <f>A25*$B$16</f>
        <v>7920</v>
      </c>
      <c r="C25" s="9">
        <f>$B$14</f>
        <v>35</v>
      </c>
      <c r="D25" s="14">
        <f t="shared" ref="D25" si="3">B25*C25</f>
        <v>277200</v>
      </c>
      <c r="F25" t="s">
        <v>18</v>
      </c>
      <c r="G25" s="9">
        <f>G24/G18</f>
        <v>9365</v>
      </c>
      <c r="H25" s="4"/>
      <c r="I25" s="1"/>
    </row>
    <row r="26" spans="1:9">
      <c r="A26" s="7">
        <v>0.02</v>
      </c>
      <c r="B26">
        <f t="shared" ref="B26:B27" si="4">A26*$B$16</f>
        <v>5280</v>
      </c>
      <c r="C26" s="9">
        <f>$B$14</f>
        <v>35</v>
      </c>
      <c r="D26" s="6">
        <f t="shared" ref="D26:D27" si="5">B26*C26</f>
        <v>184800</v>
      </c>
      <c r="H26" s="4"/>
      <c r="I26" s="1"/>
    </row>
    <row r="27" spans="1:9">
      <c r="A27" s="7">
        <v>0.01</v>
      </c>
      <c r="B27">
        <f t="shared" si="4"/>
        <v>2640</v>
      </c>
      <c r="C27" s="9">
        <f>$B$14</f>
        <v>35</v>
      </c>
      <c r="D27" s="6">
        <f t="shared" si="5"/>
        <v>92400</v>
      </c>
      <c r="F27" t="s">
        <v>24</v>
      </c>
      <c r="G27" s="1">
        <v>5000</v>
      </c>
      <c r="H27" s="4"/>
      <c r="I27" s="1"/>
    </row>
    <row r="28" spans="1:9">
      <c r="A28" s="3"/>
      <c r="D28"/>
      <c r="F28" t="s">
        <v>25</v>
      </c>
      <c r="G28" s="1">
        <v>365</v>
      </c>
      <c r="H28" s="4"/>
      <c r="I28" s="1"/>
    </row>
    <row r="29" spans="1:9">
      <c r="A29" s="8"/>
      <c r="D29"/>
      <c r="H29" s="4"/>
      <c r="I29" s="1"/>
    </row>
    <row r="30" spans="1:9">
      <c r="A30" s="3" t="s">
        <v>26</v>
      </c>
      <c r="D30"/>
    </row>
    <row r="31" spans="1:9">
      <c r="A31" s="3"/>
      <c r="D31"/>
    </row>
    <row r="32" spans="1:9">
      <c r="A32" s="3"/>
      <c r="D32"/>
    </row>
    <row r="33" spans="1:4">
      <c r="A33" t="s">
        <v>27</v>
      </c>
      <c r="D33"/>
    </row>
    <row r="34" spans="1:4">
      <c r="A34" t="s">
        <v>28</v>
      </c>
      <c r="D34"/>
    </row>
    <row r="35" spans="1:4">
      <c r="D35"/>
    </row>
    <row r="36" spans="1:4">
      <c r="D36"/>
    </row>
    <row r="37" spans="1:4">
      <c r="A37" s="2" t="s">
        <v>29</v>
      </c>
      <c r="D37"/>
    </row>
    <row r="38" spans="1:4">
      <c r="A38" t="s">
        <v>30</v>
      </c>
      <c r="D38"/>
    </row>
    <row r="39" spans="1:4">
      <c r="A39" t="s">
        <v>31</v>
      </c>
      <c r="D39"/>
    </row>
    <row r="40" spans="1:4">
      <c r="A40" t="s">
        <v>32</v>
      </c>
      <c r="D40"/>
    </row>
    <row r="41" spans="1:4">
      <c r="A41" t="s">
        <v>33</v>
      </c>
    </row>
    <row r="44" spans="1:4">
      <c r="A44" t="s">
        <v>34</v>
      </c>
    </row>
    <row r="45" spans="1:4">
      <c r="D45"/>
    </row>
    <row r="46" spans="1:4">
      <c r="A46" s="3" t="s">
        <v>35</v>
      </c>
      <c r="D46"/>
    </row>
    <row r="47" spans="1:4">
      <c r="A47" t="s">
        <v>36</v>
      </c>
      <c r="C47" s="6"/>
      <c r="D47"/>
    </row>
    <row r="48" spans="1:4">
      <c r="A48" t="s">
        <v>37</v>
      </c>
      <c r="D48"/>
    </row>
    <row r="49" spans="1:5">
      <c r="A49" t="s">
        <v>38</v>
      </c>
      <c r="B49">
        <v>3</v>
      </c>
      <c r="C49" s="9">
        <f t="shared" ref="C49:C50" si="6">$B$14*B49</f>
        <v>105</v>
      </c>
      <c r="D49" s="7">
        <v>0.05</v>
      </c>
      <c r="E49" s="9">
        <f t="shared" ref="E49:E51" si="7">C49-(C49*D49)</f>
        <v>99.75</v>
      </c>
    </row>
    <row r="50" spans="1:5">
      <c r="A50" t="s">
        <v>39</v>
      </c>
      <c r="B50">
        <v>4</v>
      </c>
      <c r="C50" s="9">
        <f t="shared" si="6"/>
        <v>140</v>
      </c>
      <c r="D50" s="15">
        <v>0.1</v>
      </c>
      <c r="E50" s="9">
        <f t="shared" si="7"/>
        <v>126</v>
      </c>
    </row>
    <row r="51" spans="1:5">
      <c r="A51" s="3" t="s">
        <v>40</v>
      </c>
      <c r="B51">
        <v>5</v>
      </c>
      <c r="C51" s="9">
        <f>$B$14*B51</f>
        <v>175</v>
      </c>
      <c r="D51" s="15">
        <v>0.14749999999999999</v>
      </c>
      <c r="E51" s="9">
        <f t="shared" si="7"/>
        <v>149.1875</v>
      </c>
    </row>
    <row r="53" spans="1:5">
      <c r="A53" t="s">
        <v>41</v>
      </c>
    </row>
    <row r="54" spans="1:5">
      <c r="A54" t="s">
        <v>42</v>
      </c>
    </row>
    <row r="55" spans="1:5">
      <c r="A55" t="s">
        <v>43</v>
      </c>
    </row>
    <row r="56" spans="1:5">
      <c r="A56" t="s">
        <v>44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C2062B430D234AA4CBA427ABE4EC83" ma:contentTypeVersion="16" ma:contentTypeDescription="Create a new document." ma:contentTypeScope="" ma:versionID="dcd4cc95128e84ee974367cfdc3138a0">
  <xsd:schema xmlns:xsd="http://www.w3.org/2001/XMLSchema" xmlns:xs="http://www.w3.org/2001/XMLSchema" xmlns:p="http://schemas.microsoft.com/office/2006/metadata/properties" xmlns:ns2="73652738-0f9f-4cf9-98c6-00304dcbad8f" xmlns:ns3="262f6390-0191-45c2-ba4b-d7ea01726934" targetNamespace="http://schemas.microsoft.com/office/2006/metadata/properties" ma:root="true" ma:fieldsID="8b6f0e57d487770aa4423eaad0bd0668" ns2:_="" ns3:_="">
    <xsd:import namespace="73652738-0f9f-4cf9-98c6-00304dcbad8f"/>
    <xsd:import namespace="262f6390-0191-45c2-ba4b-d7ea017269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52738-0f9f-4cf9-98c6-00304dcbad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f6390-0191-45c2-ba4b-d7ea0172693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e1d72be-0949-4efc-bbe4-d0f97864de61}" ma:internalName="TaxCatchAll" ma:showField="CatchAllData" ma:web="262f6390-0191-45c2-ba4b-d7ea017269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652738-0f9f-4cf9-98c6-00304dcbad8f">
      <Terms xmlns="http://schemas.microsoft.com/office/infopath/2007/PartnerControls"/>
    </lcf76f155ced4ddcb4097134ff3c332f>
    <TaxCatchAll xmlns="262f6390-0191-45c2-ba4b-d7ea0172693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33803-8B7D-4663-9A0B-44EC1905789A}"/>
</file>

<file path=customXml/itemProps2.xml><?xml version="1.0" encoding="utf-8"?>
<ds:datastoreItem xmlns:ds="http://schemas.openxmlformats.org/officeDocument/2006/customXml" ds:itemID="{61A8481A-48E8-46A7-892D-2023EA493D6E}"/>
</file>

<file path=customXml/itemProps3.xml><?xml version="1.0" encoding="utf-8"?>
<ds:datastoreItem xmlns:ds="http://schemas.openxmlformats.org/officeDocument/2006/customXml" ds:itemID="{6598C1DA-9323-4BE3-A7D5-9DEEE2BA0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 Settembrino</dc:creator>
  <cp:keywords/>
  <dc:description/>
  <cp:lastModifiedBy/>
  <cp:revision/>
  <dcterms:created xsi:type="dcterms:W3CDTF">2015-06-05T18:17:20Z</dcterms:created>
  <dcterms:modified xsi:type="dcterms:W3CDTF">2026-02-22T17:41:26Z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0x01010088C2062B430D234AA4CBA427ABE4EC83</vt:lpwstr>
  </property>
</Properties>
</file>