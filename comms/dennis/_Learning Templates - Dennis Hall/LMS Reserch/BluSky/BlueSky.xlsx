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328"/>
  <workbookPr filterPrivacy="1"/>
  <xr:revisionPtr revIDLastSave="0" documentId="13_ncr:1_{E01F6245-23F8-41DC-8B73-62FE6068C5BB}" xr6:coauthVersionLast="41" xr6:coauthVersionMax="41" xr10:uidLastSave="{00000000-0000-0000-0000-000000000000}"/>
  <bookViews>
    <workbookView xWindow="20" yWindow="20" windowWidth="19180" windowHeight="1018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I26" i="1" l="1"/>
  <c r="K11" i="1" l="1"/>
  <c r="J12" i="1"/>
  <c r="K12" i="1"/>
  <c r="J11" i="1"/>
  <c r="D23" i="1"/>
  <c r="I15" i="1"/>
  <c r="D11" i="1"/>
  <c r="G11" i="1"/>
  <c r="H11" i="1"/>
  <c r="L3" i="1"/>
  <c r="H3" i="1"/>
  <c r="H5" i="1"/>
  <c r="H7" i="1"/>
  <c r="H12" i="1"/>
  <c r="H2" i="1"/>
  <c r="G3" i="1"/>
  <c r="G5" i="1"/>
  <c r="G12" i="1"/>
  <c r="G2" i="1"/>
  <c r="B7" i="1"/>
  <c r="D7" i="1" s="1"/>
  <c r="D3" i="1"/>
  <c r="D5" i="1"/>
  <c r="D12" i="1"/>
  <c r="D2" i="1"/>
  <c r="G7" i="1" l="1"/>
</calcChain>
</file>

<file path=xl/sharedStrings.xml><?xml version="1.0" encoding="utf-8"?>
<sst xmlns="http://schemas.openxmlformats.org/spreadsheetml/2006/main" count="15" uniqueCount="15">
  <si>
    <t>Path LMS Premiere:</t>
  </si>
  <si>
    <t>$895 monthly discounted for up to 500 users</t>
  </si>
  <si>
    <t>$1,195 Monthly for up to 1,000 users</t>
  </si>
  <si>
    <t>$1,395 Monthly for up to 2,500 users</t>
  </si>
  <si>
    <t>$1.50 for each user above 2,500</t>
  </si>
  <si>
    <t>$250 Monthly for SCORM</t>
  </si>
  <si>
    <t>(I attached a very detailed flyer which</t>
  </si>
  <si>
    <t>Path LMS Enterprise:</t>
  </si>
  <si>
    <t>$1,800 monthly discounted for up to 2,500</t>
  </si>
  <si>
    <t>$.75 for each user above 2,500</t>
  </si>
  <si>
    <t>SCORM is included</t>
  </si>
  <si>
    <t>With SCORM you’re better off with Path LMS Enterprise. If you’re looking at considerably more than 2,500 monthly users we can give you a much better price than $.75/user. Please let me know when you’re available.  </t>
  </si>
  <si>
    <t>Bill Quaterly</t>
  </si>
  <si>
    <t>$1,500 monthly discounted for up to 1,500</t>
  </si>
  <si>
    <t>Digitel - per yer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</si>
</sst>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44" formatCode="_(&quot;$&quot;* #,##0.00_);_(&quot;$&quot;* \(#,##0.00\);_(&quot;$&quot;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2"/>
      <color rgb="FF203864"/>
      <name val="Arial"/>
      <family val="2"/>
    </font>
    <font>
      <sz val="12"/>
      <color rgb="FF203864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5">
    <xf numFmtId="0" fontId="0" fillId="0" borderId="0" xfId="0"/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44" fontId="0" fillId="0" borderId="0" xfId="1" applyFont="1"/>
    <xf numFmtId="44" fontId="0" fillId="0" borderId="0" xfId="0" applyNumberFormat="1"/>
    <xf numFmtId="0" fontId="3" fillId="2" borderId="0" xfId="0" applyFont="1" applyFill="1" applyAlignment="1">
      <alignment vertical="center" wrapText="1"/>
    </xf>
    <xf numFmtId="44" fontId="0" fillId="2" borderId="0" xfId="1" applyFont="1" applyFill="1"/>
    <xf numFmtId="0" fontId="0" fillId="2" borderId="0" xfId="0" applyFill="1"/>
    <xf numFmtId="44" fontId="0" fillId="2" borderId="0" xfId="0" applyNumberFormat="1" applyFill="1"/>
    <xf numFmtId="8" fontId="0" fillId="0" borderId="0" xfId="0" applyNumberFormat="1"/>
    <xf numFmtId="44" fontId="0" fillId="2" borderId="2" xfId="1" applyFont="1" applyFill="1" applyBorder="1"/>
    <xf numFmtId="0" fontId="3" fillId="2" borderId="1" xfId="0" applyFont="1" applyFill="1" applyBorder="1" applyAlignment="1">
      <alignment vertical="center" wrapText="1"/>
    </xf>
    <xf numFmtId="0" fontId="0" fillId="2" borderId="2" xfId="0" applyFill="1" applyBorder="1"/>
    <xf numFmtId="44" fontId="0" fillId="2" borderId="2" xfId="0" applyNumberFormat="1" applyFill="1" applyBorder="1"/>
    <xf numFmtId="0" fontId="0" fillId="2" borderId="3" xfId="0" applyFill="1" applyBorder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6"/>
  <sheetViews>
    <sheetView tabSelected="1" workbookViewId="0">
      <selection activeCell="I27" sqref="I27"/>
    </sheetView>
  </sheetViews>
  <sheetFormatPr defaultRowHeight="14.5" x14ac:dyDescent="0.35"/>
  <cols>
    <col min="1" max="1" width="66.90625" customWidth="1"/>
    <col min="2" max="2" width="11.08984375" style="3" bestFit="1" customWidth="1"/>
    <col min="4" max="4" width="8.7265625" style="3"/>
    <col min="7" max="7" width="11.08984375" bestFit="1" customWidth="1"/>
    <col min="10" max="11" width="11.08984375" bestFit="1" customWidth="1"/>
    <col min="12" max="12" width="9.453125" bestFit="1" customWidth="1"/>
  </cols>
  <sheetData>
    <row r="1" spans="1:12" ht="15.5" x14ac:dyDescent="0.35">
      <c r="A1" s="1" t="s">
        <v>0</v>
      </c>
    </row>
    <row r="2" spans="1:12" ht="16" thickBot="1" x14ac:dyDescent="0.4">
      <c r="A2" s="2" t="s">
        <v>1</v>
      </c>
      <c r="B2" s="3">
        <v>895</v>
      </c>
      <c r="C2">
        <v>500</v>
      </c>
      <c r="D2" s="3">
        <f>B2/C2</f>
        <v>1.79</v>
      </c>
      <c r="F2">
        <v>12</v>
      </c>
      <c r="G2" s="4">
        <f>B2*F2</f>
        <v>10740</v>
      </c>
      <c r="H2">
        <f>C2*12</f>
        <v>6000</v>
      </c>
    </row>
    <row r="3" spans="1:12" ht="16" thickBot="1" x14ac:dyDescent="0.4">
      <c r="A3" s="11" t="s">
        <v>2</v>
      </c>
      <c r="B3" s="10">
        <v>1195</v>
      </c>
      <c r="C3" s="12">
        <v>1000</v>
      </c>
      <c r="D3" s="10">
        <f t="shared" ref="D3:D12" si="0">B3/C3</f>
        <v>1.1950000000000001</v>
      </c>
      <c r="E3" s="12"/>
      <c r="F3" s="12">
        <v>12</v>
      </c>
      <c r="G3" s="13">
        <f t="shared" ref="G3:G12" si="1">B3*F3</f>
        <v>14340</v>
      </c>
      <c r="H3" s="14">
        <f t="shared" ref="H3:H12" si="2">C3*12</f>
        <v>12000</v>
      </c>
      <c r="J3">
        <v>4000</v>
      </c>
      <c r="K3" s="9">
        <v>1.5</v>
      </c>
      <c r="L3" s="9">
        <f>J3*K3</f>
        <v>6000</v>
      </c>
    </row>
    <row r="4" spans="1:12" ht="15.5" x14ac:dyDescent="0.35">
      <c r="A4" s="5"/>
      <c r="B4" s="6"/>
      <c r="C4" s="7"/>
      <c r="D4" s="6"/>
      <c r="E4" s="7"/>
      <c r="F4" s="7"/>
      <c r="G4" s="8"/>
      <c r="H4" s="7"/>
    </row>
    <row r="5" spans="1:12" ht="15.5" x14ac:dyDescent="0.35">
      <c r="A5" s="2" t="s">
        <v>3</v>
      </c>
      <c r="B5" s="3">
        <v>1395</v>
      </c>
      <c r="C5">
        <v>2500</v>
      </c>
      <c r="D5" s="6">
        <f t="shared" si="0"/>
        <v>0.55800000000000005</v>
      </c>
      <c r="F5">
        <v>12</v>
      </c>
      <c r="G5" s="4">
        <f t="shared" si="1"/>
        <v>16740</v>
      </c>
      <c r="H5">
        <f t="shared" si="2"/>
        <v>30000</v>
      </c>
    </row>
    <row r="6" spans="1:12" ht="15.5" x14ac:dyDescent="0.35">
      <c r="A6" s="2" t="s">
        <v>4</v>
      </c>
      <c r="G6" s="4"/>
    </row>
    <row r="7" spans="1:12" ht="15.5" x14ac:dyDescent="0.35">
      <c r="A7" s="2" t="s">
        <v>5</v>
      </c>
      <c r="B7" s="3">
        <f>B5+250</f>
        <v>1645</v>
      </c>
      <c r="C7">
        <v>2500</v>
      </c>
      <c r="D7" s="3">
        <f t="shared" si="0"/>
        <v>0.65800000000000003</v>
      </c>
      <c r="F7">
        <v>12</v>
      </c>
      <c r="G7" s="4">
        <f t="shared" si="1"/>
        <v>19740</v>
      </c>
      <c r="H7">
        <f t="shared" si="2"/>
        <v>30000</v>
      </c>
    </row>
    <row r="8" spans="1:12" ht="15.5" x14ac:dyDescent="0.35">
      <c r="A8" s="2" t="s">
        <v>6</v>
      </c>
      <c r="G8" s="4"/>
    </row>
    <row r="9" spans="1:12" ht="15.5" x14ac:dyDescent="0.35">
      <c r="A9" s="2"/>
      <c r="G9" s="4"/>
    </row>
    <row r="10" spans="1:12" ht="15.5" x14ac:dyDescent="0.35">
      <c r="A10" s="1" t="s">
        <v>7</v>
      </c>
      <c r="G10" s="4"/>
    </row>
    <row r="11" spans="1:12" ht="16" thickBot="1" x14ac:dyDescent="0.4">
      <c r="A11" s="2" t="s">
        <v>13</v>
      </c>
      <c r="B11" s="3">
        <v>1500</v>
      </c>
      <c r="C11">
        <v>1500</v>
      </c>
      <c r="D11" s="3">
        <f t="shared" ref="D11" si="3">B11/C11</f>
        <v>1</v>
      </c>
      <c r="F11">
        <v>13</v>
      </c>
      <c r="G11" s="4">
        <f t="shared" ref="G11" si="4">B11*F11</f>
        <v>19500</v>
      </c>
      <c r="H11">
        <f t="shared" ref="H11" si="5">C11*12</f>
        <v>18000</v>
      </c>
      <c r="J11" s="4">
        <f>G11*3/4</f>
        <v>14625</v>
      </c>
      <c r="K11">
        <f>H11*3/4</f>
        <v>13500</v>
      </c>
    </row>
    <row r="12" spans="1:12" ht="16" thickBot="1" x14ac:dyDescent="0.4">
      <c r="A12" s="11" t="s">
        <v>8</v>
      </c>
      <c r="B12" s="10">
        <v>1800</v>
      </c>
      <c r="C12" s="12">
        <v>2500</v>
      </c>
      <c r="D12" s="10">
        <f t="shared" si="0"/>
        <v>0.72</v>
      </c>
      <c r="E12" s="12"/>
      <c r="F12" s="12">
        <v>12</v>
      </c>
      <c r="G12" s="13">
        <f t="shared" si="1"/>
        <v>21600</v>
      </c>
      <c r="H12" s="14">
        <f t="shared" si="2"/>
        <v>30000</v>
      </c>
      <c r="I12" s="7"/>
      <c r="J12" s="8">
        <f>G12*3/4</f>
        <v>16200</v>
      </c>
      <c r="K12" s="7">
        <f>H12*3/4</f>
        <v>22500</v>
      </c>
    </row>
    <row r="13" spans="1:12" ht="15.5" x14ac:dyDescent="0.35">
      <c r="A13" s="2" t="s">
        <v>9</v>
      </c>
    </row>
    <row r="14" spans="1:12" ht="15.5" x14ac:dyDescent="0.35">
      <c r="A14" s="2" t="s">
        <v>10</v>
      </c>
    </row>
    <row r="15" spans="1:12" ht="15.5" x14ac:dyDescent="0.35">
      <c r="A15" s="2"/>
      <c r="G15">
        <v>1000</v>
      </c>
      <c r="H15">
        <v>0.75</v>
      </c>
      <c r="I15" s="3">
        <f>G15*H15</f>
        <v>750</v>
      </c>
    </row>
    <row r="16" spans="1:12" ht="62" x14ac:dyDescent="0.35">
      <c r="A16" s="2" t="s">
        <v>11</v>
      </c>
    </row>
    <row r="20" spans="1:9" x14ac:dyDescent="0.35">
      <c r="A20" t="s">
        <v>12</v>
      </c>
    </row>
    <row r="23" spans="1:9" x14ac:dyDescent="0.35">
      <c r="A23" t="s">
        <v>14</v>
      </c>
      <c r="B23" s="3">
        <v>20000</v>
      </c>
      <c r="C23">
        <v>15000</v>
      </c>
      <c r="D23" s="3">
        <f>B23/C23</f>
        <v>1.3333333333333333</v>
      </c>
    </row>
    <row r="26" spans="1:9" x14ac:dyDescent="0.35">
      <c r="G26">
        <v>2500</v>
      </c>
      <c r="H26">
        <v>16</v>
      </c>
      <c r="I26">
        <f>G26*H26</f>
        <v>40000</v>
      </c>
    </row>
  </sheetData>
  <pageMargins left="0.7" right="0.7" top="0.75" bottom="0.75" header="0.3" footer="0.3"/>
  <pageSetup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5AA728F4475B64FAE7BE56CCFC1E1D7" ma:contentTypeVersion="9" ma:contentTypeDescription="Create a new document." ma:contentTypeScope="" ma:versionID="00ebafb4aed932d86e8291784b257201">
  <xsd:schema xmlns:xsd="http://www.w3.org/2001/XMLSchema" xmlns:xs="http://www.w3.org/2001/XMLSchema" xmlns:p="http://schemas.microsoft.com/office/2006/metadata/properties" xmlns:ns2="812bfcf5-1bf7-4881-a96e-f50f8b9c44b3" xmlns:ns3="be948af3-6719-4c6b-b6f3-8ad6f6208448" targetNamespace="http://schemas.microsoft.com/office/2006/metadata/properties" ma:root="true" ma:fieldsID="bda00a6ba88fafa8ff9f3a3cc73ab2aa" ns2:_="" ns3:_="">
    <xsd:import namespace="812bfcf5-1bf7-4881-a96e-f50f8b9c44b3"/>
    <xsd:import namespace="be948af3-6719-4c6b-b6f3-8ad6f620844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12bfcf5-1bf7-4881-a96e-f50f8b9c44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a710c007-53bf-43f6-9160-0aa968ac1f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e948af3-6719-4c6b-b6f3-8ad6f6208448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717a299b-d50a-4993-89e3-dd6d34cfd197}" ma:internalName="TaxCatchAll" ma:showField="CatchAllData" ma:web="be948af3-6719-4c6b-b6f3-8ad6f620844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e948af3-6719-4c6b-b6f3-8ad6f6208448" xsi:nil="true"/>
    <lcf76f155ced4ddcb4097134ff3c332f xmlns="812bfcf5-1bf7-4881-a96e-f50f8b9c44b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62920AB-FC8F-4469-BFD0-E3FD5CCADDE3}"/>
</file>

<file path=customXml/itemProps2.xml><?xml version="1.0" encoding="utf-8"?>
<ds:datastoreItem xmlns:ds="http://schemas.openxmlformats.org/officeDocument/2006/customXml" ds:itemID="{D2E7F636-639A-448D-8319-99D21B0CCBDC}"/>
</file>

<file path=customXml/itemProps3.xml><?xml version="1.0" encoding="utf-8"?>
<ds:datastoreItem xmlns:ds="http://schemas.openxmlformats.org/officeDocument/2006/customXml" ds:itemID="{B3BC66D0-B3FA-4353-B1EE-55C59C2BF99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2019-03-21T00:31:34Z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0x01010055AA728F4475B64FAE7BE56CCFC1E1D7</vt:lpwstr>
  </property>
</Properties>
</file>