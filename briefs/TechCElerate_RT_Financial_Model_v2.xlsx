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Launch Revenue" sheetId="2" state="visible" r:id="rId4"/>
    <sheet name="Monthly P&amp;L" sheetId="3" state="visible" r:id="rId5"/>
    <sheet name="Break-Even &amp; Unit Economics" sheetId="4" state="visible" r:id="rId6"/>
    <sheet name="Content Pipeline Economics" sheetId="5" state="visible" r:id="rId7"/>
    <sheet name="Student &amp; New Grad Pip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<sst xmlns="http://schemas.openxmlformats.org/spreadsheetml/2006/main" count="553" uniqueCount="472">
  <si>
    <t xml:space="preserve">TechCElerate — Financial Model Assumptions  |  All inputs in Blue  |  Yellow background = key assumption</t>
  </si>
  <si>
    <t xml:space="preserve">🔵 Blue = Input (change to model scenarios)   |   ⚫ Black = Formula   |   🟡 Yellow background = key assumption</t>
  </si>
  <si>
    <t xml:space="preserve">PRICING TIERS — Red / White / Blue Founding Member Launch</t>
  </si>
  <si>
    <t xml:space="preserve">Parameter</t>
  </si>
  <si>
    <t xml:space="preserve">Value</t>
  </si>
  <si>
    <t xml:space="preserve">Unit</t>
  </si>
  <si>
    <t xml:space="preserve">Notes</t>
  </si>
  <si>
    <t xml:space="preserve">🔴 Red — Founders for Life price</t>
  </si>
  <si>
    <t xml:space="preserve">$</t>
  </si>
  <si>
    <t xml:space="preserve">One-time lifetime payment. Cap: 250 subscribers.</t>
  </si>
  <si>
    <t xml:space="preserve">🔴 Red — Subscriber cap</t>
  </si>
  <si>
    <t xml:space="preserve">subscribers</t>
  </si>
  <si>
    <t xml:space="preserve">Closes Aug 4, 2026 OR sellout</t>
  </si>
  <si>
    <t xml:space="preserve">⚪ White — Half Price for Life (annual, locked for life)</t>
  </si>
  <si>
    <t xml:space="preserve">$/yr</t>
  </si>
  <si>
    <t xml:space="preserve">Price locked forever at $24.99/yr. Cap: 250 subscribers.</t>
  </si>
  <si>
    <t xml:space="preserve">⚪ White — Subscriber cap</t>
  </si>
  <si>
    <t xml:space="preserve">Closes Aug 18, 2026 OR sellout</t>
  </si>
  <si>
    <t xml:space="preserve">🔵 Blue — Founding Rate for Life (annual, locked for life)</t>
  </si>
  <si>
    <t xml:space="preserve">Price locked forever at $34.99/yr. Cap: 250 subscribers.</t>
  </si>
  <si>
    <t xml:space="preserve">🔵 Blue — Subscriber cap</t>
  </si>
  <si>
    <t xml:space="preserve">Closes Sep 1, 2026 OR sellout</t>
  </si>
  <si>
    <t xml:space="preserve">🇺🇸 250th Extended offer (Sep 2 – Dec 31, 2026)</t>
  </si>
  <si>
    <t xml:space="preserve">Sep 2 – Dec 31, 2026 HARD CUTOFF. Converts to Standard ($49.99) Jan 2027.</t>
  </si>
  <si>
    <t xml:space="preserve">📊 Standard price (Jan 1, 2027+)</t>
  </si>
  <si>
    <t xml:space="preserve">Permanent base price Jan 1, 2027+</t>
  </si>
  <si>
    <t xml:space="preserve">🎓 Student/new grad — Year 1</t>
  </si>
  <si>
    <t xml:space="preserve">Free with .edu email or grad date within 12 months</t>
  </si>
  <si>
    <t xml:space="preserve">🎓 Student — Year 2+ conversion price</t>
  </si>
  <si>
    <t xml:space="preserve">Converts to Standard rate</t>
  </si>
  <si>
    <t xml:space="preserve">📅 Soft launch date</t>
  </si>
  <si>
    <t xml:space="preserve">May 15, 2026</t>
  </si>
  <si>
    <t xml:space="preserve">date</t>
  </si>
  <si>
    <t xml:space="preserve">Site live, beta testing, email list building</t>
  </si>
  <si>
    <t xml:space="preserve">🎆 Founding tiers open</t>
  </si>
  <si>
    <t xml:space="preserve">Jul 4, 2026</t>
  </si>
  <si>
    <t xml:space="preserve">Marketing event — America's 250th</t>
  </si>
  <si>
    <t xml:space="preserve">SUBSCRIBER GROWTH — Monthly New Subscriber Assumptions</t>
  </si>
  <si>
    <t xml:space="preserve">Founding period (Jul–Sep 2026) — new standard subs/mo</t>
  </si>
  <si>
    <t xml:space="preserve">subs/mo</t>
  </si>
  <si>
    <t xml:space="preserve">During founding period, focus is on tier sellout</t>
  </si>
  <si>
    <t xml:space="preserve">Extended period (Sep–Dec 2026) — new subs/mo at $25</t>
  </si>
  <si>
    <t xml:space="preserve">Conservative: word-of-mouth + early marketing</t>
  </si>
  <si>
    <t xml:space="preserve">2027 Q1 — new standard subs/mo</t>
  </si>
  <si>
    <t xml:space="preserve">Post-launch ramp, organic + SEO</t>
  </si>
  <si>
    <t xml:space="preserve">2027 Q2 — new standard subs/mo</t>
  </si>
  <si>
    <t xml:space="preserve">Marketing engine warming up</t>
  </si>
  <si>
    <t xml:space="preserve">2027 Q3-Q4 — new standard subs/mo</t>
  </si>
  <si>
    <t xml:space="preserve">Affiliate + paid ads contributing</t>
  </si>
  <si>
    <t xml:space="preserve">Annual churn — White/Blue tiers (permanent lock)</t>
  </si>
  <si>
    <t xml:space="preserve">%</t>
  </si>
  <si>
    <t xml:space="preserve">10% — permanent price lock = lower churn, but not zero</t>
  </si>
  <si>
    <t xml:space="preserve">Annual churn — Extended ($25) tier</t>
  </si>
  <si>
    <t xml:space="preserve">12% — year 1 rate, then converts to Standard pricing Jan 2027</t>
  </si>
  <si>
    <t xml:space="preserve">Annual churn — Standard tier</t>
  </si>
  <si>
    <t xml:space="preserve">18% — industry standard for subscription CE</t>
  </si>
  <si>
    <t xml:space="preserve">Student Year 1→2 conversion rate</t>
  </si>
  <si>
    <t xml:space="preserve">25% of free students convert to paid Year 2</t>
  </si>
  <si>
    <t xml:space="preserve">New students/month (free, .edu)</t>
  </si>
  <si>
    <t xml:space="preserve">Starting at launch — RT programs outreach</t>
  </si>
  <si>
    <t xml:space="preserve">COST STRUCTURE — Platform Fixed + Variable Costs</t>
  </si>
  <si>
    <t xml:space="preserve">PLATFORM FIXED COSTS (Annual)</t>
  </si>
  <si>
    <t xml:space="preserve">TOTAL FIXED: $1,239/yr (~$103/mo). IP fee REMOVED — General Sponsor pays per-course only.</t>
  </si>
  <si>
    <t xml:space="preserve">  Learning Templates hosting</t>
  </si>
  <si>
    <t xml:space="preserve">8 CPU Standard dedicated server</t>
  </si>
  <si>
    <t xml:space="preserve">  LearnDash (1 license)</t>
  </si>
  <si>
    <t xml:space="preserve">Keep primary subscription #541384</t>
  </si>
  <si>
    <t xml:space="preserve">  Uncanny Owl All Access</t>
  </si>
  <si>
    <t xml:space="preserve">CE Credits, Toolkit, Groups, Codes, Reporting</t>
  </si>
  <si>
    <t xml:space="preserve">  WP Rocket (1 of 3 slots)</t>
  </si>
  <si>
    <t xml:space="preserve">1/3 of $180 annual — TechCElerate share</t>
  </si>
  <si>
    <t xml:space="preserve">  Iubenda (1 site)</t>
  </si>
  <si>
    <t xml:space="preserve">Privacy/legal compliance</t>
  </si>
  <si>
    <t xml:space="preserve">  MonsterInsights (CUT AT RENEWAL — GA4 replaces)</t>
  </si>
  <si>
    <t xml:space="preserve">CANCELLED — GA4 is free replacement. $799/yr saved.</t>
  </si>
  <si>
    <t xml:space="preserve">  ASRT — NO annual fee (General Sponsor status)</t>
  </si>
  <si>
    <t xml:space="preserve">CONFIRMED: TechCElerate is General Sponsor, NOT Institutional Provider. IP is for hospital employee-only CE. Cost is per-course only (see Content Costs below).</t>
  </si>
  <si>
    <t xml:space="preserve">  Amazon SES email delivery</t>
  </si>
  <si>
    <t xml:space="preserve">~$2/mo at launch volume</t>
  </si>
  <si>
    <t xml:space="preserve">  Domain (Name.com)</t>
  </si>
  <si>
    <t xml:space="preserve">techcelerate-ce.com annual renewal</t>
  </si>
  <si>
    <t xml:space="preserve">CONTENT COSTS (Pre-launch, one-time)</t>
  </si>
  <si>
    <t xml:space="preserve">  Course freshness audit + AI refresh (20 courses)</t>
  </si>
  <si>
    <t xml:space="preserve">AI drafts updates, SME reviews. ~$300/course avg</t>
  </si>
  <si>
    <t xml:space="preserve">  ASRT submission — first 6 courses (avg $225/course)</t>
  </si>
  <si>
    <t xml:space="preserve">Mix of $150 and $300 tiers depending on length</t>
  </si>
  <si>
    <t xml:space="preserve">  Claude API — content generation (monthly)</t>
  </si>
  <si>
    <t xml:space="preserve">$/mo</t>
  </si>
  <si>
    <t xml:space="preserve">Ongoing per-course and refresh usage</t>
  </si>
  <si>
    <t xml:space="preserve">CONTENT COSTS (Ongoing — new courses)</t>
  </si>
  <si>
    <t xml:space="preserve">  New course AI pipeline cost (per course)</t>
  </si>
  <si>
    <t xml:space="preserve">$/course</t>
  </si>
  <si>
    <t xml:space="preserve">AI draft + SME review + editing + packaging</t>
  </si>
  <si>
    <t xml:space="preserve">  ASRT submission per new course (avg — self-learning)</t>
  </si>
  <si>
    <t xml:space="preserve">0.25-3.25hr: $150/yr | 3.5-9.25hr: $300/yr | 9.5-15.75hr: $450/yr | 16-23.75hr: $600/yr | 24+hr: $750/yr. New tiers added Aug 2024.</t>
  </si>
  <si>
    <t xml:space="preserve">  New courses per month (target)</t>
  </si>
  <si>
    <t xml:space="preserve">courses/mo</t>
  </si>
  <si>
    <t xml:space="preserve">Goal: 6/mo published (ASRT-approved). Guarantee: 2 minimum. Range: 3-6.</t>
  </si>
  <si>
    <t xml:space="preserve">VARIABLE COSTS (Per Subscriber)</t>
  </si>
  <si>
    <t xml:space="preserve">  Stripe processing — % of transaction</t>
  </si>
  <si>
    <t xml:space="preserve">2.9% + $0.30 fixed</t>
  </si>
  <si>
    <t xml:space="preserve">  Stripe fixed fee per transaction</t>
  </si>
  <si>
    <t xml:space="preserve">Per transaction</t>
  </si>
  <si>
    <t xml:space="preserve">  Support cost per subscriber/year (AI-assisted)</t>
  </si>
  <si>
    <t xml:space="preserve">$/sub/yr</t>
  </si>
  <si>
    <t xml:space="preserve">80% AI chatbot, 20% email escalation</t>
  </si>
  <si>
    <t xml:space="preserve">CATALYST MANAGEMENT FEE (Inter-company)</t>
  </si>
  <si>
    <t xml:space="preserve">  Phase 1: Pre-launch to $5k MRR</t>
  </si>
  <si>
    <t xml:space="preserve">No fee during build phase</t>
  </si>
  <si>
    <t xml:space="preserve">  Phase 2: $5k–$10k MRR</t>
  </si>
  <si>
    <t xml:space="preserve">Covers shared service allocation</t>
  </si>
  <si>
    <t xml:space="preserve">  Phase 3: $10k+ MRR</t>
  </si>
  <si>
    <t xml:space="preserve">Scale fee — revisit at $15k MRR for $5k target</t>
  </si>
  <si>
    <t xml:space="preserve">  MRR threshold Phase 2 trigger</t>
  </si>
  <si>
    <t xml:space="preserve">$/mo MRR</t>
  </si>
  <si>
    <t xml:space="preserve">Start fee when monthly revenue hits this</t>
  </si>
  <si>
    <t xml:space="preserve">  MRR threshold Phase 3 trigger</t>
  </si>
  <si>
    <t xml:space="preserve">Increase fee at this level</t>
  </si>
  <si>
    <t xml:space="preserve">TechCElerate — Founding Member Launch Revenue Model  |  July 4, 2026  |  Standard: $49.99/yr</t>
  </si>
  <si>
    <t xml:space="preserve">Tier</t>
  </si>
  <si>
    <t xml:space="preserve">Price</t>
  </si>
  <si>
    <t xml:space="preserve">Cap</t>
  </si>
  <si>
    <t xml:space="preserve">Sell-Through %</t>
  </si>
  <si>
    <t xml:space="preserve">Subscribers</t>
  </si>
  <si>
    <t xml:space="preserve">Year 1 Revenue</t>
  </si>
  <si>
    <t xml:space="preserve">Year 2 Revenue</t>
  </si>
  <si>
    <t xml:space="preserve">🔴 Red — Founders for Life</t>
  </si>
  <si>
    <t xml:space="preserve">One-time payment. No Year 2 revenue. 90% sell-through assumption.</t>
  </si>
  <si>
    <t xml:space="preserve">⚪ White — Half Price for Life</t>
  </si>
  <si>
    <t xml:space="preserve">Annual recurring, price locked FOREVER at $24.99/yr. 10% churn Y2.</t>
  </si>
  <si>
    <t xml:space="preserve">🔵 Blue — Founding Rate for Life</t>
  </si>
  <si>
    <t xml:space="preserve">Annual recurring, price locked FOREVER at $34.99/yr. 10% churn Y2.</t>
  </si>
  <si>
    <t xml:space="preserve">🇺🇸 250th Extended ($39.99/yr)</t>
  </si>
  <si>
    <t xml:space="preserve">Sep 2 – Dec 31, 2026. Hard cutoff. Converts to Standard ($49.99) Jan 2027.</t>
  </si>
  <si>
    <t xml:space="preserve">TOTAL — Founding + Extended Period</t>
  </si>
  <si>
    <t xml:space="preserve">Standard subscribers (Jan 2027+) are additive on top of this base</t>
  </si>
  <si>
    <t xml:space="preserve">KEY LAUNCH INSIGHTS</t>
  </si>
  <si>
    <t xml:space="preserve">If all tiers sell out (100%):</t>
  </si>
  <si>
    <t xml:space="preserve">Y1 gross revenue at full sellout</t>
  </si>
  <si>
    <t xml:space="preserve">Break-even subscriber count (covering platform fixed costs only ~$175/mo):</t>
  </si>
  <si>
    <t xml:space="preserve">~11 subscribers</t>
  </si>
  <si>
    <t xml:space="preserve">At ANY price tier</t>
  </si>
  <si>
    <t xml:space="preserve">Lifetime member break-even vs. Standard ($39.99/yr):</t>
  </si>
  <si>
    <t xml:space="preserve">~5.0 years</t>
  </si>
  <si>
    <t xml:space="preserve">Year 6+ a $250 Red member costs more than they paid (at $49.99 equiv.)</t>
  </si>
  <si>
    <t xml:space="preserve">Red tier: year they become 'unprofitable':</t>
  </si>
  <si>
    <t xml:space="preserve">2031</t>
  </si>
  <si>
    <t xml:space="preserve">After 5.0 years at $49.99 equivalent value</t>
  </si>
  <si>
    <t xml:space="preserve">Max founding period revenue (full sellout + 500 extended):</t>
  </si>
  <si>
    <t xml:space="preserve">See cell F above</t>
  </si>
  <si>
    <t xml:space="preserve">TechCElerate — Monthly P&amp;L  |  May 2026 – Oct 2027  |  18-Month View</t>
  </si>
  <si>
    <t xml:space="preserve">LINE ITEM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</si>
  <si>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</si>
  <si>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</si>
  <si>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</si>
  <si>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</si>
  <si>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</si>
  <si>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</si>
  <si>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</si>
  <si>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</si>
  <si>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</si>
  <si>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</si>
  <si>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</si>
  <si>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</si>
  <si>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</si>
  <si>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</si>
  <si>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</si>
  <si>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</si>
  <si>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</si>
  <si>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</si>
  <si>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18-Mo Total</t>
  </si>
  <si>
    <t xml:space="preserve">🔴 Pre-launch (May–Jun)  |  🔵 Founding Tiers Open (Jul–Sep)  |  🟠 Extended $39.99 (Oct–Dec 2026)  |  ⚫ Standard $49.99 (Jan 2027+)</t>
  </si>
  <si>
    <t xml:space="preserve">REVENUE</t>
  </si>
  <si>
    <t xml:space="preserve">  Red — One-time lifetime sales</t>
  </si>
  <si>
    <t xml:space="preserve">  White — Monthly recurring ($24.99/yr, permanent)</t>
  </si>
  <si>
    <t xml:space="preserve">  Blue — Monthly recurring ($34.99/yr, permanent)</t>
  </si>
  <si>
    <t xml:space="preserve">  250th Extended ($39.99/yr → $49.99 Standard Jan 2027)</t>
  </si>
  <si>
    <t xml:space="preserve">  Standard ($49.99/yr)</t>
  </si>
  <si>
    <t xml:space="preserve">  Student (Free Year 1 → converts Yr 2)</t>
  </si>
  <si>
    <t xml:space="preserve">TOTAL REVENUE</t>
  </si>
  <si>
    <t xml:space="preserve">COSTS</t>
  </si>
  <si>
    <t xml:space="preserve">  Platform fixed (hosting, licenses, ASRT IP)</t>
  </si>
  <si>
    <t xml:space="preserve">  Content: pre-launch audit &amp; refresh (20 courses)</t>
  </si>
  <si>
    <t xml:space="preserve">  ASRT submission fees (first 6 courses)</t>
  </si>
  <si>
    <t xml:space="preserve">  New course pipeline (6/mo × $675 fully loaded)</t>
  </si>
  <si>
    <t xml:space="preserve">  Stripe processing fees (~3.2% blended)</t>
  </si>
  <si>
    <t xml:space="preserve">  Support cost ($1.50/sub/yr blended)</t>
  </si>
  <si>
    <t xml:space="preserve">  Claude API (content generation)</t>
  </si>
  <si>
    <t xml:space="preserve">  Catalyst management fee (tiered)</t>
  </si>
  <si>
    <t xml:space="preserve">TOTAL COSTS</t>
  </si>
  <si>
    <t xml:space="preserve">OPERATING INCOME (EBITDA PROXY)</t>
  </si>
  <si>
    <t xml:space="preserve">Operating Income / (Loss)</t>
  </si>
  <si>
    <t xml:space="preserve">Operating Margin %</t>
  </si>
  <si>
    <t xml:space="preserve">SUBSCRIBER COUNTS (End of Month)</t>
  </si>
  <si>
    <t xml:space="preserve">  Red (cumulative)</t>
  </si>
  <si>
    <t xml:space="preserve">  White (cumulative)</t>
  </si>
  <si>
    <t xml:space="preserve">  Blue (cumulative)</t>
  </si>
  <si>
    <t xml:space="preserve">  250th Extended (cumulative)</t>
  </si>
  <si>
    <t xml:space="preserve">  Standard (cumulative)</t>
  </si>
  <si>
    <t xml:space="preserve">TOTAL PAYING SUBSCRIBERS</t>
  </si>
  <si>
    <t xml:space="preserve">TechCElerate — Break-Even Analysis &amp; Unit Economics</t>
  </si>
  <si>
    <t xml:space="preserve">BREAK-EVEN: How many subscribers needed to cover costs?</t>
  </si>
  <si>
    <t xml:space="preserve">Scenario</t>
  </si>
  <si>
    <t xml:space="preserve">$34.99/yr (Blue)</t>
  </si>
  <si>
    <t xml:space="preserve">$39.99/yr (Extended)</t>
  </si>
  <si>
    <t xml:space="preserve">$49.99/yr (Standard)</t>
  </si>
  <si>
    <t xml:space="preserve">$250 one-time (Red)</t>
  </si>
  <si>
    <t xml:space="preserve">Platform fixed only (~$1,239/yr)</t>
  </si>
  <si>
    <t xml:space="preserve">Hosting, licenses, SES, domain. IP fee removed — General Sponsor.</t>
  </si>
  <si>
    <t xml:space="preserve">Platform + ASRT submissions ($3,450 yr1 add'l)</t>
  </si>
  <si>
    <t xml:space="preserve">Platform + ASRT first 6 course submissions ($1,350 total)</t>
  </si>
  <si>
    <t xml:space="preserve">Platform + content refresh ($6,000 one-time)</t>
  </si>
  <si>
    <t xml:space="preserve">Platform + 20-course launch refresh ($6,000 one-time)</t>
  </si>
  <si>
    <t xml:space="preserve">All-in Year 1 (platform + content + ASRT)</t>
  </si>
  <si>
    <t xml:space="preserve">All-in Year 1 (platform + content + ASRT submissions)</t>
  </si>
  <si>
    <t xml:space="preserve">All-in Year 1 + $18k Catalyst fee (post-launch)</t>
  </si>
  <si>
    <t xml:space="preserve">$1,500/mo × 12 = $18k Catalyst management fee included</t>
  </si>
  <si>
    <t xml:space="preserve">Steady-state Year 2+ (no one-time costs)</t>
  </si>
  <si>
    <t xml:space="preserve">N/A</t>
  </si>
  <si>
    <t xml:space="preserve">Platform ($1,239) + pipeline ($4,050×12=$48,600) + $18k Catalyst. No annual IP fee.</t>
  </si>
  <si>
    <t xml:space="preserve">UNIT ECONOMICS PER SUBSCRIBER (LIFETIME VALUE)</t>
  </si>
  <si>
    <t xml:space="preserve">Metric</t>
  </si>
  <si>
    <t xml:space="preserve">Red ($250 LTD)</t>
  </si>
  <si>
    <t xml:space="preserve">White ($24.99/yr)</t>
  </si>
  <si>
    <t xml:space="preserve">Blue ($34.99/yr, permanent)</t>
  </si>
  <si>
    <t xml:space="preserve">Standard ($49.99)</t>
  </si>
  <si>
    <t xml:space="preserve">Annual revenue per sub (Yr 1)</t>
  </si>
  <si>
    <t xml:space="preserve">$250 (one-time)</t>
  </si>
  <si>
    <t xml:space="preserve">$24.99</t>
  </si>
  <si>
    <t xml:space="preserve">$34.99</t>
  </si>
  <si>
    <t xml:space="preserve">$49.99</t>
  </si>
  <si>
    <t xml:space="preserve">Annual revenue per sub (Yr 2+)</t>
  </si>
  <si>
    <t xml:space="preserve">$0</t>
  </si>
  <si>
    <t xml:space="preserve">White and Blue are permanent locks — price never changes</t>
  </si>
  <si>
    <t xml:space="preserve">Stripe fee per transaction</t>
  </si>
  <si>
    <t xml:space="preserve">~$7.55</t>
  </si>
  <si>
    <t xml:space="preserve">~$1.02/yr</t>
  </si>
  <si>
    <t xml:space="preserve">~$1.31/yr</t>
  </si>
  <si>
    <t xml:space="preserve">~$1.75/yr</t>
  </si>
  <si>
    <t xml:space="preserve">2.9% + $0.30</t>
  </si>
  <si>
    <t xml:space="preserve">Support cost per sub/year</t>
  </si>
  <si>
    <t xml:space="preserve">$1.50</t>
  </si>
  <si>
    <t xml:space="preserve">AI-assisted, 80% automated</t>
  </si>
  <si>
    <t xml:space="preserve">Content cost (allocated per sub)</t>
  </si>
  <si>
    <t xml:space="preserve">~$6.00</t>
  </si>
  <si>
    <t xml:space="preserve">$6k ÷ 1,000 subs est. Year 1</t>
  </si>
  <si>
    <t xml:space="preserve">Contribution margin Yr 1</t>
  </si>
  <si>
    <t xml:space="preserve">~$234</t>
  </si>
  <si>
    <t xml:space="preserve">~$16.47</t>
  </si>
  <si>
    <t xml:space="preserve">~$26.18</t>
  </si>
  <si>
    <t xml:space="preserve">~$40.74</t>
  </si>
  <si>
    <t xml:space="preserve">After variable costs</t>
  </si>
  <si>
    <t xml:space="preserve">Contribution margin %</t>
  </si>
  <si>
    <t xml:space="preserve">~93.7%</t>
  </si>
  <si>
    <t xml:space="preserve">~65.9%</t>
  </si>
  <si>
    <t xml:space="preserve">~74.8%</t>
  </si>
  <si>
    <t xml:space="preserve">~81.5%</t>
  </si>
  <si>
    <t xml:space="preserve">Avg years as subscriber (est.)</t>
  </si>
  <si>
    <t xml:space="preserve">Lifetime</t>
  </si>
  <si>
    <t xml:space="preserve">~10 yrs (10% churn)</t>
  </si>
  <si>
    <t xml:space="preserve">~5.6 yrs (18% churn)</t>
  </si>
  <si>
    <t xml:space="preserve">1/churn rate</t>
  </si>
  <si>
    <t xml:space="preserve">LTV (lifetime value)</t>
  </si>
  <si>
    <t xml:space="preserve">~$250</t>
  </si>
  <si>
    <t xml:space="preserve">~$350</t>
  </si>
  <si>
    <t xml:space="preserve">~$278</t>
  </si>
  <si>
    <t xml:space="preserve">Simplified; excludes time value</t>
  </si>
  <si>
    <t xml:space="preserve">CAC target (&lt; 25% LTV)</t>
  </si>
  <si>
    <t xml:space="preserve">&lt;$62</t>
  </si>
  <si>
    <t xml:space="preserve">&lt;$87</t>
  </si>
  <si>
    <t xml:space="preserve">&lt;$69</t>
  </si>
  <si>
    <t xml:space="preserve">Target acquisition cost ceiling</t>
  </si>
  <si>
    <t xml:space="preserve">YEAR 1-3 SUMMARY REVENUE PROJECTION</t>
  </si>
  <si>
    <t xml:space="preserve">Revenue Stream</t>
  </si>
  <si>
    <t xml:space="preserve">Year 1 (2026)</t>
  </si>
  <si>
    <t xml:space="preserve">Year 2 (2027)</t>
  </si>
  <si>
    <t xml:space="preserve">Year 3 (2028)</t>
  </si>
  <si>
    <t xml:space="preserve">3-Year Total</t>
  </si>
  <si>
    <t xml:space="preserve">Red founding members (one-time)</t>
  </si>
  <si>
    <t xml:space="preserve">250×$250×90% sell-through</t>
  </si>
  <si>
    <t xml:space="preserve">White ($24.99/yr, permanent)</t>
  </si>
  <si>
    <t xml:space="preserve">~10% annual churn; permanent $24.99 lock</t>
  </si>
  <si>
    <t xml:space="preserve">Permanent $34.99/yr lock; 10% churn</t>
  </si>
  <si>
    <t xml:space="preserve">250th Extended ($39.99 → $49.99 Standard Jan 2027)</t>
  </si>
  <si>
    <t xml:space="preserve">350 subs at $39.99; converts to $49.99 Standard Jan 2027</t>
  </si>
  <si>
    <t xml:space="preserve">Standard new subscribers ($49.99/yr)</t>
  </si>
  <si>
    <t xml:space="preserve">Ramp: 75→175/mo in 2027; $49.99/yr</t>
  </si>
  <si>
    <t xml:space="preserve">Student conversions (paid Yr 2, $49.99/yr)</t>
  </si>
  <si>
    <t xml:space="preserve">28% of free students convert; $49.99 Standard rate</t>
  </si>
  <si>
    <t xml:space="preserve">TOTAL GROSS REVENUE</t>
  </si>
  <si>
    <t xml:space="preserve">YEAR 1-3 COST PROJECTION</t>
  </si>
  <si>
    <t xml:space="preserve">Platform fixed (hosting, licenses, ASRT IP, etc.)</t>
  </si>
  <si>
    <t xml:space="preserve">~$103/mo. IP fee removed — General Sponsor, no annual fee.</t>
  </si>
  <si>
    <t xml:space="preserve">Content: pre-launch audit &amp; refresh (one-time)</t>
  </si>
  <si>
    <t xml:space="preserve">20 courses × ~$300 avg</t>
  </si>
  <si>
    <t xml:space="preserve">ASRT submission fees</t>
  </si>
  <si>
    <t xml:space="preserve">6 courses Y1; 72 new/yr at 6/mo pace by Y2</t>
  </si>
  <si>
    <t xml:space="preserve">Ongoing new course pipeline (6/mo)</t>
  </si>
  <si>
    <t xml:space="preserve">6 × $675 × 12 months (goal: 6/mo; guarantee: 2/mo min)</t>
  </si>
  <si>
    <t xml:space="preserve">Claude API &amp; AI tools</t>
  </si>
  <si>
    <t xml:space="preserve">$75/mo ongoing</t>
  </si>
  <si>
    <t xml:space="preserve">Stripe processing fees</t>
  </si>
  <si>
    <t xml:space="preserve">Grows with revenue</t>
  </si>
  <si>
    <t xml:space="preserve">Support (AI-assisted)</t>
  </si>
  <si>
    <t xml:space="preserve">Scales with subscriber count</t>
  </si>
  <si>
    <t xml:space="preserve">Catalyst management fee</t>
  </si>
  <si>
    <t xml:space="preserve">Tiered: $0→$1.5k→$2.5k/mo</t>
  </si>
  <si>
    <t xml:space="preserve">OPERATING INCOME / (LOSS)</t>
  </si>
  <si>
    <t xml:space="preserve">Before taxes and owner distributions</t>
  </si>
  <si>
    <t xml:space="preserve">TechCElerate — Content Pipeline Economics  |  AI-Assisted vs. Traditional</t>
  </si>
  <si>
    <t xml:space="preserve">COST COMPARISON: Traditional vs. AI-Assisted Pipeline</t>
  </si>
  <si>
    <t xml:space="preserve">Cost Element</t>
  </si>
  <si>
    <t xml:space="preserve">Traditional</t>
  </si>
  <si>
    <t xml:space="preserve">AI-Assisted</t>
  </si>
  <si>
    <t xml:space="preserve">Savings</t>
  </si>
  <si>
    <t xml:space="preserve">Savings %</t>
  </si>
  <si>
    <t xml:space="preserve">Content drafting (per 1-CE course)</t>
  </si>
  <si>
    <t xml:space="preserve">SME writes from scratch vs. AI drafts, human edits</t>
  </si>
  <si>
    <t xml:space="preserve">SME clinical review</t>
  </si>
  <si>
    <t xml:space="preserve">Included in trad. rate vs. dedicated review step</t>
  </si>
  <si>
    <t xml:space="preserve">Editing &amp; formatting (AMA 11th ed.)</t>
  </si>
  <si>
    <t xml:space="preserve">Full edit vs. AI auto-format + spot-check</t>
  </si>
  <si>
    <t xml:space="preserve">ASRT submission fee (per course, avg)</t>
  </si>
  <si>
    <t xml:space="preserve">Fixed ASRT cost — not reducible</t>
  </si>
  <si>
    <t xml:space="preserve">LMS packaging &amp; deployment</t>
  </si>
  <si>
    <t xml:space="preserve">Manual HTML vs. API-automated</t>
  </si>
  <si>
    <t xml:space="preserve">Post-test generation</t>
  </si>
  <si>
    <t xml:space="preserve">Manual question writing vs. AI + SME validation</t>
  </si>
  <si>
    <t xml:space="preserve">TOTAL PER 1-CE COURSE</t>
  </si>
  <si>
    <t xml:space="preserve">Cost per course fully-loaded</t>
  </si>
  <si>
    <t xml:space="preserve">ANNUAL CONTENT PIPELINE COST (6 NEW COURSES/MONTH = 72/YEAR)</t>
  </si>
  <si>
    <t xml:space="preserve">New course AI pipeline (72 × $675)</t>
  </si>
  <si>
    <t xml:space="preserve">All-in per course: AI draft + SME review + edit + ASRT</t>
  </si>
  <si>
    <t xml:space="preserve">Traditional equivalent (72 × $4,875)</t>
  </si>
  <si>
    <t xml:space="preserve">What the same 72-course output would cost with traditional writers</t>
  </si>
  <si>
    <t xml:space="preserve">Annual savings vs. traditional</t>
  </si>
  <si>
    <t xml:space="preserve">$302,400/year saved by AI pipeline at 6 courses/month</t>
  </si>
  <si>
    <t xml:space="preserve">20-course launch refresh (one-time)</t>
  </si>
  <si>
    <t xml:space="preserve">Freshness audit + AI update + SME sign-off</t>
  </si>
  <si>
    <t xml:space="preserve">ASRT annual renewal (20 courses, avg $225)</t>
  </si>
  <si>
    <t xml:space="preserve">Keep approvals current — 20 × $225 avg renewal</t>
  </si>
  <si>
    <t xml:space="preserve">Total annual content budget (steady-state)</t>
  </si>
  <si>
    <t xml:space="preserve">New pipeline (72 courses) + ASRT renewals (20 existing × $225 avg)</t>
  </si>
  <si>
    <t xml:space="preserve">TechCElerate — Student &amp; New Grad Pipeline  |  Exam Prep Funnel → Free Year 1 → Paid Conversion</t>
  </si>
  <si>
    <t xml:space="preserve">🔵 Blue = Input   |   ⚫ Black = Formula   |   🟡 Yellow background = key assumption   |   🟢 Green = linked from other sheets</t>
  </si>
  <si>
    <t xml:space="preserve">SECTION 1 — MARKET SIZE: New RT Graduates Entering Workforce</t>
  </si>
  <si>
    <t xml:space="preserve">Notes / Source</t>
  </si>
  <si>
    <t xml:space="preserve">ARRT total registered credentials (2025)</t>
  </si>
  <si>
    <t xml:space="preserve">credentials</t>
  </si>
  <si>
    <t xml:space="preserve">Source: ARRT Annual Report. Includes multi-credential holders.</t>
  </si>
  <si>
    <t xml:space="preserve">Estimated employed radiologic technologists (BLS 2024)</t>
  </si>
  <si>
    <t xml:space="preserve">RTs</t>
  </si>
  <si>
    <t xml:space="preserve">BLS OES data — update annually</t>
  </si>
  <si>
    <t xml:space="preserve">Estimated new ARRT credentials issued per year</t>
  </si>
  <si>
    <t xml:space="preserve">new creds/yr</t>
  </si>
  <si>
    <t xml:space="preserve">~5% of total base. Includes new grads + career changers.</t>
  </si>
  <si>
    <t xml:space="preserve">New grads entering workforce from RT programs/yr</t>
  </si>
  <si>
    <t xml:space="preserve">new grads/yr</t>
  </si>
  <si>
    <t xml:space="preserve">Subset of above — accredited RT program completers</t>
  </si>
  <si>
    <t xml:space="preserve">Active accredited RT programs (JRCERT)</t>
  </si>
  <si>
    <t xml:space="preserve">programs</t>
  </si>
  <si>
    <t xml:space="preserve">Source: JRCERT website — verify annually</t>
  </si>
  <si>
    <t xml:space="preserve">Avg graduates per program per year</t>
  </si>
  <si>
    <t xml:space="preserve">grads/program</t>
  </si>
  <si>
    <t xml:space="preserve">Rough average, varies widely by program size. Source: JRCERT.</t>
  </si>
  <si>
    <t xml:space="preserve">SECTION 2 — ACQUISITION FUNNEL ASSUMPTIONS</t>
  </si>
  <si>
    <t xml:space="preserve">── EXAM PREP TOOL (Top of Funnel)</t>
  </si>
  <si>
    <t xml:space="preserve">Free ARRT registry prep — practice questions, category scores, study guide</t>
  </si>
  <si>
    <t xml:space="preserve">  RT students who find exam prep tool/month</t>
  </si>
  <si>
    <t xml:space="preserve">students/mo</t>
  </si>
  <si>
    <t xml:space="preserve">SEO + RT program outreach + Facebook groups. Conservative ramp.</t>
  </si>
  <si>
    <t xml:space="preserve">  Email capture rate (tool users → registered)</t>
  </si>
  <si>
    <t xml:space="preserve">70% — high intent users, the tool requires registration to save scores</t>
  </si>
  <si>
    <t xml:space="preserve">  Registered exam prep users/month</t>
  </si>
  <si>
    <t xml:space="preserve">users/mo</t>
  </si>
  <si>
    <t xml:space="preserve">Formula: tool users × capture rate</t>
  </si>
  <si>
    <t xml:space="preserve">── FREE YEAR 1 (.edu / new grad)</t>
  </si>
  <si>
    <t xml:space="preserve">Students + new grads get Year 1 free. No CE credits until credentialed.</t>
  </si>
  <si>
    <t xml:space="preserve">  Exam prep registrants who convert to Free Year 1</t>
  </si>
  <si>
    <t xml:space="preserve">50% — they register for CE access once they know about it</t>
  </si>
  <si>
    <t xml:space="preserve">  Direct new grad signups/month (non-exam prep path)</t>
  </si>
  <si>
    <t xml:space="preserve">LinkedIn outreach, RT program partnerships, word-of-mouth</t>
  </si>
  <si>
    <t xml:space="preserve">  Total new free students/month</t>
  </si>
  <si>
    <t xml:space="preserve">Formula: (exam prep converted) + direct signups</t>
  </si>
  <si>
    <t xml:space="preserve">── YEAR 2 PAID CONVERSION</t>
  </si>
  <si>
    <t xml:space="preserve">Free students convert to paid Standard ($39.99/yr) in Year 2</t>
  </si>
  <si>
    <t xml:space="preserve">  Year 1 → Year 2 paid conversion rate</t>
  </si>
  <si>
    <t xml:space="preserve">28% base. Higher than cold traffic — brand loyalty built during free year.</t>
  </si>
  <si>
    <t xml:space="preserve">  Conversion price (Standard rate)</t>
  </si>
  <si>
    <t xml:space="preserve">Links to Standard price in Assumptions sheet</t>
  </si>
  <si>
    <t xml:space="preserve">── LONG-TERM RETENTION</t>
  </si>
  <si>
    <t xml:space="preserve">  Annual churn — converted student subscribers</t>
  </si>
  <si>
    <t xml:space="preserve">15% — lower than avg Standard churn; loyalty from free year</t>
  </si>
  <si>
    <t xml:space="preserve">  Average RT career length</t>
  </si>
  <si>
    <t xml:space="preserve">years</t>
  </si>
  <si>
    <t xml:space="preserve">Industry estimate — many RTs career until retirement</t>
  </si>
  <si>
    <t xml:space="preserve">  Active CE years (after credential, to retirement)</t>
  </si>
  <si>
    <t xml:space="preserve">Career length minus 2 years pre-credential</t>
  </si>
  <si>
    <t xml:space="preserve">── SOCIAL MEDIA VIRAL MULTIPLIER</t>
  </si>
  <si>
    <t xml:space="preserve">Cohort sharing — RTs in same program share tools with classmates</t>
  </si>
  <si>
    <t xml:space="preserve">  Avg referrals per student (cohort sharing)</t>
  </si>
  <si>
    <t xml:space="preserve">referrals/student</t>
  </si>
  <si>
    <t xml:space="preserve">RT programs are tight-knit cohorts. One person shares with class.</t>
  </si>
  <si>
    <t xml:space="preserve">  Referral → registration conversion rate</t>
  </si>
  <si>
    <t xml:space="preserve">35% of referred students register</t>
  </si>
  <si>
    <t xml:space="preserve">  Effective monthly reach multiplier</t>
  </si>
  <si>
    <t xml:space="preserve">x</t>
  </si>
  <si>
    <t xml:space="preserve">Total reach = direct + viral. Formula: 1 + (referrals × conversion)</t>
  </si>
  <si>
    <t xml:space="preserve">SECTION 3 — ANNUAL COHORT MODEL  (5-Year View)</t>
  </si>
  <si>
    <t xml:space="preserve">2026
(Jul–Dec)</t>
  </si>
  <si>
    <t xml:space="preserve">2027
(Full Year)</t>
  </si>
  <si>
    <t xml:space="preserve">2028
(Full Year)</t>
  </si>
  <si>
    <t xml:space="preserve">2029
(Full Year)</t>
  </si>
  <si>
    <t xml:space="preserve">2030
(Full Year)</t>
  </si>
  <si>
    <t xml:space="preserve">── ACQUISITION</t>
  </si>
  <si>
    <t xml:space="preserve">Monthly figures × months active per year</t>
  </si>
  <si>
    <t xml:space="preserve">  Free students acquired (cumulative)</t>
  </si>
  <si>
    <t xml:space="preserve">Formula: free/month × months. 6 mo in 2026 (Jul–Dec).</t>
  </si>
  <si>
    <t xml:space="preserve">  Cumulative free student base (end of period)</t>
  </si>
  <si>
    <t xml:space="preserve">Running total of free students in pipeline</t>
  </si>
  <si>
    <t xml:space="preserve">── PAID CONVERSIONS (Year 2 converts)</t>
  </si>
  <si>
    <t xml:space="preserve">Students who complete free year → paid subscribers</t>
  </si>
  <si>
    <t xml:space="preserve">  New paid converts this year</t>
  </si>
  <si>
    <t xml:space="preserve">Formula: prior year free cohort × conversion rate. No converts in 2026.</t>
  </si>
  <si>
    <t xml:space="preserve">  Churned paid converts (from prior cohorts)</t>
  </si>
  <si>
    <t xml:space="preserve">Formula: cumulative paid converts × Standard churn rate</t>
  </si>
  <si>
    <t xml:space="preserve">  Net new paid student subscribers</t>
  </si>
  <si>
    <t xml:space="preserve">New converts minus churn</t>
  </si>
  <si>
    <t xml:space="preserve">  Cumulative paid student subscribers (end of period)</t>
  </si>
  <si>
    <t xml:space="preserve">Running total of paying converted students</t>
  </si>
  <si>
    <t xml:space="preserve">── REVENUE FROM STUDENT PIPELINE</t>
  </si>
  <si>
    <t xml:space="preserve">  Revenue from student converts ($)</t>
  </si>
  <si>
    <t xml:space="preserve">Formula: paying student base × Standard price</t>
  </si>
  <si>
    <t xml:space="preserve">  Revenue as % of total projected revenue</t>
  </si>
  <si>
    <t xml:space="preserve">vs. base model projections from Break-Even sheet</t>
  </si>
  <si>
    <t xml:space="preserve">SECTION 4 — LIFETIME VALUE (LTV) ANALYSIS: Student vs. Standard Subscriber</t>
  </si>
  <si>
    <t xml:space="preserve">Standard Subscriber
(Paid from Day 1)</t>
  </si>
  <si>
    <t xml:space="preserve">Student Pipeline
(Free Year 1 → Paid)</t>
  </si>
  <si>
    <t xml:space="preserve">Difference</t>
  </si>
  <si>
    <t xml:space="preserve">Annual subscription price</t>
  </si>
  <si>
    <t xml:space="preserve">Both pay Standard rate once converted</t>
  </si>
  <si>
    <t xml:space="preserve">Year 1 revenue</t>
  </si>
  <si>
    <t xml:space="preserve">Student is FREE in Year 1</t>
  </si>
  <si>
    <t xml:space="preserve">Annual churn rate</t>
  </si>
  <si>
    <t xml:space="preserve">Student converts have slightly lower churn (15%)</t>
  </si>
  <si>
    <t xml:space="preserve">Avg years as paying subscriber</t>
  </si>
  <si>
    <t xml:space="preserve">Formula: 1/churn rate = avg subscription length</t>
  </si>
  <si>
    <t xml:space="preserve">Simple LTV (revenue only)</t>
  </si>
  <si>
    <t xml:space="preserve">Avg years paying × annual price</t>
  </si>
  <si>
    <t xml:space="preserve">CAC — standard acquisition (est.)</t>
  </si>
  <si>
    <t xml:space="preserve">Student CAC lower — mostly organic/viral</t>
  </si>
  <si>
    <t xml:space="preserve">LTV:CAC ratio</t>
  </si>
  <si>
    <t xml:space="preserve">Target: &gt;3x. Higher = better unit economics</t>
  </si>
  <si>
    <t xml:space="preserve">40-year career LTV (max theoretical)</t>
  </si>
  <si>
    <t xml:space="preserve">Adjusted for churn over career. 39 yrs for student.</t>
  </si>
  <si>
    <t xml:space="preserve">SECTION 5 — STRATEGIC SUMMARY: Why "All In" on Students &amp; New Grads</t>
  </si>
  <si>
    <t xml:space="preserve">🎓 Market opportunity</t>
  </si>
  <si>
    <t xml:space="preserve">~14,000 new RT grads/year enter workforce with zero platform loyalty. First-mover wins.</t>
  </si>
  <si>
    <t xml:space="preserve">📱 Social media gap</t>
  </si>
  <si>
    <t xml:space="preserve">No competitor has a meaningful social presence. Exam prep content is highly shareable within RT program cohorts.</t>
  </si>
  <si>
    <t xml:space="preserve">📚 Exam prep funnel</t>
  </si>
  <si>
    <t xml:space="preserve">ARRT registry prep tool = high-intent lead magnet. Content already built (existing course post-test banks). Zero marginal cost.</t>
  </si>
  <si>
    <t xml:space="preserve">💰 Unit economics</t>
  </si>
  <si>
    <t xml:space="preserve">Student CAC ~$20 vs. $35 standard. Lower churn after conversion (loyalty from free year). 40-year career LTV.</t>
  </si>
  <si>
    <t xml:space="preserve">🔗 Viral mechanics</t>
  </si>
  <si>
    <t xml:space="preserve">RT programs are tight-knit cohorts. One student shares → 2-3 classmates join. Organic growth engine.</t>
  </si>
  <si>
    <t xml:space="preserve">🏫 Faculty partnerships</t>
  </si>
  <si>
    <t xml:space="preserve">Offer free institutional access to final-semester students. Faculty become unpaid advocates. Cost: ~$0.</t>
  </si>
  <si>
    <t xml:space="preserve">📣 LinkedIn strategy</t>
  </si>
  <si>
    <t xml:space="preserve">New ARRT credential announcements flood LinkedIn. Targeted congrats comment + free year link = high-conversion zero-cost outreach.</t>
  </si>
  <si>
    <t xml:space="preserve">🔄 Full lifecycle funnel</t>
  </si>
  <si>
    <t xml:space="preserve">Student (free) → New grad (free Yr 1) → Paid subscriber → Department referral (B2B). One acquisition = 40 years of value.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</si>
</sst>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"/>
    <numFmt numFmtId="167" formatCode="#,##0"/>
    <numFmt numFmtId="168" formatCode="0%"/>
    <numFmt numFmtId="169" formatCode="\$#,##0"/>
    <numFmt numFmtId="170" formatCode="0.0\%"/>
    <numFmt numFmtId="171" formatCode="#,##0.0"/>
    <numFmt numFmtId="172" formatCode="0.0\x"/>
    <numFmt numFmtId="173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Cambria"/>
      <family val="0"/>
      <charset val="1"/>
    </font>
    <font>
      <b val="true"/>
      <i val="true"/>
      <sz val="9"/>
      <color rgb="FFFFFFFF"/>
      <name val="Arial"/>
      <family val="0"/>
      <charset val="1"/>
    </font>
    <font>
      <b val="true"/>
      <sz val="10"/>
      <color rgb="FF1A7A3A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3333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1A7A3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2153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21531"/>
        <bgColor rgb="FF000000"/>
      </patternFill>
    </fill>
    <fill>
      <patternFill patternType="solid">
        <fgColor rgb="FFE8E8E8"/>
        <bgColor rgb="FFEEEEEE"/>
      </patternFill>
    </fill>
    <fill>
      <patternFill patternType="solid">
        <fgColor rgb="FF42A4D9"/>
        <bgColor rgb="FF339966"/>
      </patternFill>
    </fill>
    <fill>
      <patternFill patternType="solid">
        <fgColor rgb="FF888888"/>
        <bgColor rgb="FF969696"/>
      </patternFill>
    </fill>
    <fill>
      <patternFill patternType="solid">
        <fgColor rgb="FFFFF9C4"/>
        <bgColor rgb="FFFFF5E5"/>
      </patternFill>
    </fill>
    <fill>
      <patternFill patternType="solid">
        <fgColor rgb="FFF2F2F2"/>
        <bgColor rgb="FFF5F5F5"/>
      </patternFill>
    </fill>
    <fill>
      <patternFill patternType="solid">
        <fgColor rgb="FFFFE5E5"/>
        <bgColor rgb="FFEEEEEE"/>
      </patternFill>
    </fill>
    <fill>
      <patternFill patternType="solid">
        <fgColor rgb="FFF5F5F5"/>
        <bgColor rgb="FFF2F2F2"/>
      </patternFill>
    </fill>
    <fill>
      <patternFill patternType="solid">
        <fgColor rgb="FFE5F0FF"/>
        <bgColor rgb="FFE8F0FE"/>
      </patternFill>
    </fill>
    <fill>
      <patternFill patternType="solid">
        <fgColor rgb="FFFFF5E5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CC6600"/>
        <bgColor rgb="FF808000"/>
      </patternFill>
    </fill>
    <fill>
      <patternFill patternType="solid">
        <fgColor rgb="FFEEEEEE"/>
        <bgColor rgb="FFF2F2F2"/>
      </patternFill>
    </fill>
    <fill>
      <patternFill patternType="solid">
        <fgColor rgb="FF1A7A3A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D6F4D6"/>
        <bgColor rgb="FFDCE6F1"/>
      </patternFill>
    </fill>
    <fill>
      <patternFill patternType="solid">
        <fgColor rgb="FF1F3864"/>
        <bgColor rgb="FF2E4057"/>
      </patternFill>
    </fill>
    <fill>
      <patternFill patternType="solid">
        <fgColor rgb="FFDCE6F1"/>
        <bgColor rgb="FFE8E8E8"/>
      </patternFill>
    </fill>
    <fill>
      <patternFill patternType="solid">
        <fgColor rgb="FF2E4057"/>
        <bgColor rgb="FF1F3864"/>
      </patternFill>
    </fill>
    <fill>
      <patternFill patternType="solid">
        <fgColor rgb="FFFFFF00"/>
        <bgColor rgb="FFFFCC00"/>
      </patternFill>
    </fill>
    <fill>
      <patternFill patternType="solid">
        <fgColor rgb="FFE8F0FE"/>
        <bgColor rgb="FFE5F0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A7A3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5F0FF"/>
      <rgbColor rgb="FF660066"/>
      <rgbColor rgb="FFFF8080"/>
      <rgbColor rgb="FF0066CC"/>
      <rgbColor rgb="FFDCE6F1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0FE"/>
      <rgbColor rgb="FFD6F4D6"/>
      <rgbColor rgb="FFFFF5E5"/>
      <rgbColor rgb="FFE8E8E8"/>
      <rgbColor rgb="FFEEEEEE"/>
      <rgbColor rgb="FFF2F2F2"/>
      <rgbColor rgb="FFFFE5E5"/>
      <rgbColor rgb="FF3366FF"/>
      <rgbColor rgb="FF42A4D9"/>
      <rgbColor rgb="FF99CC00"/>
      <rgbColor rgb="FFFFCC00"/>
      <rgbColor rgb="FFFF9900"/>
      <rgbColor rgb="FFCC6600"/>
      <rgbColor rgb="FF555555"/>
      <rgbColor rgb="FF969696"/>
      <rgbColor rgb="FF1F3864"/>
      <rgbColor rgb="FF339966"/>
      <rgbColor rgb="FF121531"/>
      <rgbColor rgb="FF333300"/>
      <rgbColor rgb="FF993300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3" customFormat="false" ht="19.5" hidden="false" customHeight="true" outlineLevel="0" collapsed="false">
      <c r="A3" s="4" t="s">
        <v>2</v>
      </c>
      <c r="B3" s="4"/>
      <c r="C3" s="4"/>
      <c r="D3" s="4"/>
    </row>
    <row r="4" customFormat="false" ht="15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18" hidden="false" customHeight="true" outlineLevel="0" collapsed="false">
      <c r="A5" s="6" t="s">
        <v>7</v>
      </c>
      <c r="B5" s="7" t="n">
        <v>250</v>
      </c>
      <c r="C5" s="8" t="s">
        <v>8</v>
      </c>
      <c r="D5" s="9" t="s">
        <v>9</v>
      </c>
    </row>
    <row r="6" customFormat="false" ht="18" hidden="false" customHeight="true" outlineLevel="0" collapsed="false">
      <c r="A6" s="6" t="s">
        <v>10</v>
      </c>
      <c r="B6" s="10" t="n">
        <v>250</v>
      </c>
      <c r="C6" s="8" t="s">
        <v>11</v>
      </c>
      <c r="D6" s="9" t="s">
        <v>12</v>
      </c>
    </row>
    <row r="7" customFormat="false" ht="18" hidden="false" customHeight="true" outlineLevel="0" collapsed="false">
      <c r="A7" s="6" t="s">
        <v>13</v>
      </c>
      <c r="B7" s="7" t="n">
        <v>24.99</v>
      </c>
      <c r="C7" s="8" t="s">
        <v>14</v>
      </c>
      <c r="D7" s="9" t="s">
        <v>15</v>
      </c>
    </row>
    <row r="8" customFormat="false" ht="18" hidden="false" customHeight="true" outlineLevel="0" collapsed="false">
      <c r="A8" s="6" t="s">
        <v>16</v>
      </c>
      <c r="B8" s="10" t="n">
        <v>250</v>
      </c>
      <c r="C8" s="8" t="s">
        <v>11</v>
      </c>
      <c r="D8" s="9" t="s">
        <v>17</v>
      </c>
    </row>
    <row r="9" customFormat="false" ht="18" hidden="false" customHeight="true" outlineLevel="0" collapsed="false">
      <c r="A9" s="6" t="s">
        <v>18</v>
      </c>
      <c r="B9" s="7" t="n">
        <v>34.99</v>
      </c>
      <c r="C9" s="8" t="s">
        <v>14</v>
      </c>
      <c r="D9" s="9" t="s">
        <v>19</v>
      </c>
    </row>
    <row r="10" customFormat="false" ht="18" hidden="false" customHeight="true" outlineLevel="0" collapsed="false">
      <c r="A10" s="6" t="s">
        <v>20</v>
      </c>
      <c r="B10" s="10" t="n">
        <v>250</v>
      </c>
      <c r="C10" s="8" t="s">
        <v>11</v>
      </c>
      <c r="D10" s="9" t="s">
        <v>21</v>
      </c>
    </row>
    <row r="11" customFormat="false" ht="18" hidden="false" customHeight="true" outlineLevel="0" collapsed="false">
      <c r="A11" s="6" t="s">
        <v>22</v>
      </c>
      <c r="B11" s="7" t="n">
        <v>39.99</v>
      </c>
      <c r="C11" s="8" t="s">
        <v>14</v>
      </c>
      <c r="D11" s="9" t="s">
        <v>23</v>
      </c>
    </row>
    <row r="12" customFormat="false" ht="18" hidden="false" customHeight="true" outlineLevel="0" collapsed="false">
      <c r="A12" s="6" t="s">
        <v>24</v>
      </c>
      <c r="B12" s="7" t="n">
        <v>49.99</v>
      </c>
      <c r="C12" s="8" t="s">
        <v>14</v>
      </c>
      <c r="D12" s="9" t="s">
        <v>25</v>
      </c>
    </row>
    <row r="13" customFormat="false" ht="18" hidden="false" customHeight="true" outlineLevel="0" collapsed="false">
      <c r="A13" s="6" t="s">
        <v>26</v>
      </c>
      <c r="B13" s="10" t="n">
        <v>0</v>
      </c>
      <c r="C13" s="8" t="s">
        <v>14</v>
      </c>
      <c r="D13" s="9" t="s">
        <v>27</v>
      </c>
    </row>
    <row r="14" customFormat="false" ht="18" hidden="false" customHeight="true" outlineLevel="0" collapsed="false">
      <c r="A14" s="6" t="s">
        <v>28</v>
      </c>
      <c r="B14" s="7" t="n">
        <v>49.99</v>
      </c>
      <c r="C14" s="8" t="s">
        <v>14</v>
      </c>
      <c r="D14" s="9" t="s">
        <v>29</v>
      </c>
    </row>
    <row r="15" customFormat="false" ht="18" hidden="false" customHeight="true" outlineLevel="0" collapsed="false">
      <c r="A15" s="6" t="s">
        <v>30</v>
      </c>
      <c r="B15" s="10" t="s">
        <v>31</v>
      </c>
      <c r="C15" s="8" t="s">
        <v>32</v>
      </c>
      <c r="D15" s="9" t="s">
        <v>33</v>
      </c>
    </row>
    <row r="16" customFormat="false" ht="18" hidden="false" customHeight="true" outlineLevel="0" collapsed="false">
      <c r="A16" s="6" t="s">
        <v>34</v>
      </c>
      <c r="B16" s="10" t="s">
        <v>35</v>
      </c>
      <c r="C16" s="8" t="s">
        <v>32</v>
      </c>
      <c r="D16" s="9" t="s">
        <v>36</v>
      </c>
    </row>
    <row r="18" customFormat="false" ht="19.5" hidden="false" customHeight="true" outlineLevel="0" collapsed="false">
      <c r="A18" s="4" t="s">
        <v>37</v>
      </c>
      <c r="B18" s="4"/>
      <c r="C18" s="4"/>
      <c r="D18" s="4"/>
    </row>
    <row r="19" customFormat="false" ht="15.75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</row>
    <row r="20" customFormat="false" ht="18" hidden="false" customHeight="true" outlineLevel="0" collapsed="false">
      <c r="A20" s="6" t="s">
        <v>38</v>
      </c>
      <c r="B20" s="10" t="n">
        <v>0</v>
      </c>
      <c r="C20" s="8" t="s">
        <v>39</v>
      </c>
      <c r="D20" s="9" t="s">
        <v>40</v>
      </c>
    </row>
    <row r="21" customFormat="false" ht="18" hidden="false" customHeight="true" outlineLevel="0" collapsed="false">
      <c r="A21" s="6" t="s">
        <v>41</v>
      </c>
      <c r="B21" s="10" t="n">
        <v>100</v>
      </c>
      <c r="C21" s="8" t="s">
        <v>39</v>
      </c>
      <c r="D21" s="9" t="s">
        <v>42</v>
      </c>
    </row>
    <row r="22" customFormat="false" ht="18" hidden="false" customHeight="true" outlineLevel="0" collapsed="false">
      <c r="A22" s="6" t="s">
        <v>43</v>
      </c>
      <c r="B22" s="10" t="n">
        <v>75</v>
      </c>
      <c r="C22" s="8" t="s">
        <v>39</v>
      </c>
      <c r="D22" s="9" t="s">
        <v>44</v>
      </c>
    </row>
    <row r="23" customFormat="false" ht="18" hidden="false" customHeight="true" outlineLevel="0" collapsed="false">
      <c r="A23" s="6" t="s">
        <v>45</v>
      </c>
      <c r="B23" s="10" t="n">
        <v>125</v>
      </c>
      <c r="C23" s="8" t="s">
        <v>39</v>
      </c>
      <c r="D23" s="9" t="s">
        <v>46</v>
      </c>
    </row>
    <row r="24" customFormat="false" ht="18" hidden="false" customHeight="true" outlineLevel="0" collapsed="false">
      <c r="A24" s="6" t="s">
        <v>47</v>
      </c>
      <c r="B24" s="10" t="n">
        <v>175</v>
      </c>
      <c r="C24" s="8" t="s">
        <v>39</v>
      </c>
      <c r="D24" s="9" t="s">
        <v>48</v>
      </c>
    </row>
    <row r="25" customFormat="false" ht="18" hidden="false" customHeight="true" outlineLevel="0" collapsed="false">
      <c r="A25" s="6" t="s">
        <v>49</v>
      </c>
      <c r="B25" s="11" t="n">
        <v>0.1</v>
      </c>
      <c r="C25" s="8" t="s">
        <v>50</v>
      </c>
      <c r="D25" s="9" t="s">
        <v>51</v>
      </c>
    </row>
    <row r="26" customFormat="false" ht="18" hidden="false" customHeight="true" outlineLevel="0" collapsed="false">
      <c r="A26" s="6" t="s">
        <v>52</v>
      </c>
      <c r="B26" s="11" t="n">
        <v>0.12</v>
      </c>
      <c r="C26" s="8" t="s">
        <v>50</v>
      </c>
      <c r="D26" s="9" t="s">
        <v>53</v>
      </c>
    </row>
    <row r="27" customFormat="false" ht="18" hidden="false" customHeight="true" outlineLevel="0" collapsed="false">
      <c r="A27" s="6" t="s">
        <v>54</v>
      </c>
      <c r="B27" s="11" t="n">
        <v>0.18</v>
      </c>
      <c r="C27" s="8" t="s">
        <v>50</v>
      </c>
      <c r="D27" s="9" t="s">
        <v>55</v>
      </c>
    </row>
    <row r="28" customFormat="false" ht="18" hidden="false" customHeight="true" outlineLevel="0" collapsed="false">
      <c r="A28" s="6" t="s">
        <v>56</v>
      </c>
      <c r="B28" s="11" t="n">
        <v>0.25</v>
      </c>
      <c r="C28" s="8" t="s">
        <v>50</v>
      </c>
      <c r="D28" s="9" t="s">
        <v>57</v>
      </c>
    </row>
    <row r="29" customFormat="false" ht="18" hidden="false" customHeight="true" outlineLevel="0" collapsed="false">
      <c r="A29" s="6" t="s">
        <v>58</v>
      </c>
      <c r="B29" s="10" t="n">
        <v>20</v>
      </c>
      <c r="C29" s="8" t="s">
        <v>39</v>
      </c>
      <c r="D29" s="9" t="s">
        <v>59</v>
      </c>
    </row>
    <row r="31" customFormat="false" ht="19.5" hidden="false" customHeight="true" outlineLevel="0" collapsed="false">
      <c r="A31" s="4" t="s">
        <v>60</v>
      </c>
      <c r="B31" s="4"/>
      <c r="C31" s="4"/>
      <c r="D31" s="4"/>
    </row>
    <row r="32" customFormat="false" ht="15.75" hidden="false" customHeight="true" outlineLevel="0" collapsed="false">
      <c r="A32" s="5" t="s">
        <v>3</v>
      </c>
      <c r="B32" s="5" t="s">
        <v>4</v>
      </c>
      <c r="C32" s="5" t="s">
        <v>5</v>
      </c>
      <c r="D32" s="5" t="s">
        <v>6</v>
      </c>
    </row>
    <row r="33" customFormat="false" ht="18" hidden="false" customHeight="true" outlineLevel="0" collapsed="false">
      <c r="A33" s="12" t="s">
        <v>61</v>
      </c>
      <c r="B33" s="13"/>
      <c r="C33" s="13"/>
      <c r="D33" s="13" t="s">
        <v>62</v>
      </c>
    </row>
    <row r="34" customFormat="false" ht="18" hidden="false" customHeight="true" outlineLevel="0" collapsed="false">
      <c r="A34" s="6" t="s">
        <v>63</v>
      </c>
      <c r="B34" s="7" t="n">
        <v>288</v>
      </c>
      <c r="C34" s="8" t="s">
        <v>14</v>
      </c>
      <c r="D34" s="9" t="s">
        <v>64</v>
      </c>
    </row>
    <row r="35" customFormat="false" ht="18" hidden="false" customHeight="true" outlineLevel="0" collapsed="false">
      <c r="A35" s="6" t="s">
        <v>65</v>
      </c>
      <c r="B35" s="7" t="n">
        <v>189</v>
      </c>
      <c r="C35" s="8" t="s">
        <v>14</v>
      </c>
      <c r="D35" s="9" t="s">
        <v>66</v>
      </c>
    </row>
    <row r="36" customFormat="false" ht="18" hidden="false" customHeight="true" outlineLevel="0" collapsed="false">
      <c r="A36" s="6" t="s">
        <v>67</v>
      </c>
      <c r="B36" s="7" t="n">
        <v>499</v>
      </c>
      <c r="C36" s="8" t="s">
        <v>14</v>
      </c>
      <c r="D36" s="9" t="s">
        <v>68</v>
      </c>
    </row>
    <row r="37" customFormat="false" ht="18" hidden="false" customHeight="true" outlineLevel="0" collapsed="false">
      <c r="A37" s="6" t="s">
        <v>69</v>
      </c>
      <c r="B37" s="7" t="n">
        <v>60</v>
      </c>
      <c r="C37" s="8" t="s">
        <v>14</v>
      </c>
      <c r="D37" s="9" t="s">
        <v>70</v>
      </c>
    </row>
    <row r="38" customFormat="false" ht="18" hidden="false" customHeight="true" outlineLevel="0" collapsed="false">
      <c r="A38" s="6" t="s">
        <v>71</v>
      </c>
      <c r="B38" s="7" t="n">
        <v>159</v>
      </c>
      <c r="C38" s="8" t="s">
        <v>14</v>
      </c>
      <c r="D38" s="9" t="s">
        <v>72</v>
      </c>
    </row>
    <row r="39" customFormat="false" ht="18" hidden="false" customHeight="true" outlineLevel="0" collapsed="false">
      <c r="A39" s="6" t="s">
        <v>73</v>
      </c>
      <c r="B39" s="7" t="n">
        <v>0</v>
      </c>
      <c r="C39" s="8" t="s">
        <v>14</v>
      </c>
      <c r="D39" s="9" t="s">
        <v>74</v>
      </c>
    </row>
    <row r="40" customFormat="false" ht="18" hidden="false" customHeight="true" outlineLevel="0" collapsed="false">
      <c r="A40" s="14" t="s">
        <v>75</v>
      </c>
      <c r="B40" s="7" t="n">
        <v>0</v>
      </c>
      <c r="C40" s="8" t="s">
        <v>14</v>
      </c>
      <c r="D40" s="9" t="s">
        <v>76</v>
      </c>
    </row>
    <row r="41" customFormat="false" ht="18" hidden="false" customHeight="true" outlineLevel="0" collapsed="false">
      <c r="A41" s="14" t="s">
        <v>77</v>
      </c>
      <c r="B41" s="7" t="n">
        <v>24</v>
      </c>
      <c r="C41" s="8" t="s">
        <v>14</v>
      </c>
      <c r="D41" s="9" t="s">
        <v>78</v>
      </c>
    </row>
    <row r="42" customFormat="false" ht="18" hidden="false" customHeight="true" outlineLevel="0" collapsed="false">
      <c r="A42" s="6" t="s">
        <v>79</v>
      </c>
      <c r="B42" s="7" t="n">
        <v>20</v>
      </c>
      <c r="C42" s="8" t="s">
        <v>14</v>
      </c>
      <c r="D42" s="9" t="s">
        <v>80</v>
      </c>
    </row>
    <row r="43" customFormat="false" ht="18" hidden="false" customHeight="true" outlineLevel="0" collapsed="false">
      <c r="A43" s="12" t="s">
        <v>81</v>
      </c>
      <c r="B43" s="13"/>
      <c r="C43" s="13"/>
      <c r="D43" s="13"/>
    </row>
    <row r="44" customFormat="false" ht="18" hidden="false" customHeight="true" outlineLevel="0" collapsed="false">
      <c r="A44" s="6" t="s">
        <v>82</v>
      </c>
      <c r="B44" s="7" t="n">
        <v>6000</v>
      </c>
      <c r="C44" s="8" t="s">
        <v>8</v>
      </c>
      <c r="D44" s="9" t="s">
        <v>83</v>
      </c>
    </row>
    <row r="45" customFormat="false" ht="18" hidden="false" customHeight="true" outlineLevel="0" collapsed="false">
      <c r="A45" s="6" t="s">
        <v>84</v>
      </c>
      <c r="B45" s="7" t="n">
        <v>1350</v>
      </c>
      <c r="C45" s="8" t="s">
        <v>8</v>
      </c>
      <c r="D45" s="9" t="s">
        <v>85</v>
      </c>
    </row>
    <row r="46" customFormat="false" ht="18" hidden="false" customHeight="true" outlineLevel="0" collapsed="false">
      <c r="A46" s="6" t="s">
        <v>86</v>
      </c>
      <c r="B46" s="7" t="n">
        <v>75</v>
      </c>
      <c r="C46" s="8" t="s">
        <v>87</v>
      </c>
      <c r="D46" s="9" t="s">
        <v>88</v>
      </c>
    </row>
    <row r="47" customFormat="false" ht="18" hidden="false" customHeight="true" outlineLevel="0" collapsed="false">
      <c r="A47" s="12" t="s">
        <v>89</v>
      </c>
      <c r="B47" s="13"/>
      <c r="C47" s="13"/>
      <c r="D47" s="13"/>
    </row>
    <row r="48" customFormat="false" ht="18" hidden="false" customHeight="true" outlineLevel="0" collapsed="false">
      <c r="A48" s="6" t="s">
        <v>90</v>
      </c>
      <c r="B48" s="7" t="n">
        <v>450</v>
      </c>
      <c r="C48" s="8" t="s">
        <v>91</v>
      </c>
      <c r="D48" s="9" t="s">
        <v>92</v>
      </c>
    </row>
    <row r="49" customFormat="false" ht="18" hidden="false" customHeight="true" outlineLevel="0" collapsed="false">
      <c r="A49" s="6" t="s">
        <v>93</v>
      </c>
      <c r="B49" s="7" t="n">
        <v>225</v>
      </c>
      <c r="C49" s="8" t="s">
        <v>91</v>
      </c>
      <c r="D49" s="9" t="s">
        <v>94</v>
      </c>
    </row>
    <row r="50" customFormat="false" ht="18" hidden="false" customHeight="true" outlineLevel="0" collapsed="false">
      <c r="A50" s="6" t="s">
        <v>95</v>
      </c>
      <c r="B50" s="10" t="n">
        <v>6</v>
      </c>
      <c r="C50" s="8" t="s">
        <v>96</v>
      </c>
      <c r="D50" s="9" t="s">
        <v>97</v>
      </c>
    </row>
    <row r="51" customFormat="false" ht="18" hidden="false" customHeight="true" outlineLevel="0" collapsed="false">
      <c r="A51" s="12" t="s">
        <v>98</v>
      </c>
      <c r="B51" s="13"/>
      <c r="C51" s="13"/>
      <c r="D51" s="13"/>
    </row>
    <row r="52" customFormat="false" ht="18" hidden="false" customHeight="true" outlineLevel="0" collapsed="false">
      <c r="A52" s="6" t="s">
        <v>99</v>
      </c>
      <c r="B52" s="11" t="n">
        <v>0.029</v>
      </c>
      <c r="C52" s="8" t="s">
        <v>50</v>
      </c>
      <c r="D52" s="9" t="s">
        <v>100</v>
      </c>
    </row>
    <row r="53" customFormat="false" ht="18" hidden="false" customHeight="true" outlineLevel="0" collapsed="false">
      <c r="A53" s="6" t="s">
        <v>101</v>
      </c>
      <c r="B53" s="11" t="n">
        <v>0.3</v>
      </c>
      <c r="C53" s="8" t="s">
        <v>8</v>
      </c>
      <c r="D53" s="9" t="s">
        <v>102</v>
      </c>
    </row>
    <row r="54" customFormat="false" ht="18" hidden="false" customHeight="true" outlineLevel="0" collapsed="false">
      <c r="A54" s="6" t="s">
        <v>103</v>
      </c>
      <c r="B54" s="7" t="n">
        <v>1.5</v>
      </c>
      <c r="C54" s="8" t="s">
        <v>104</v>
      </c>
      <c r="D54" s="9" t="s">
        <v>105</v>
      </c>
    </row>
    <row r="55" customFormat="false" ht="18" hidden="false" customHeight="true" outlineLevel="0" collapsed="false">
      <c r="A55" s="12" t="s">
        <v>106</v>
      </c>
      <c r="B55" s="13"/>
      <c r="C55" s="13"/>
      <c r="D55" s="13"/>
    </row>
    <row r="56" customFormat="false" ht="18" hidden="false" customHeight="true" outlineLevel="0" collapsed="false">
      <c r="A56" s="6" t="s">
        <v>107</v>
      </c>
      <c r="B56" s="7" t="n">
        <v>0</v>
      </c>
      <c r="C56" s="8" t="s">
        <v>87</v>
      </c>
      <c r="D56" s="9" t="s">
        <v>108</v>
      </c>
    </row>
    <row r="57" customFormat="false" ht="18" hidden="false" customHeight="true" outlineLevel="0" collapsed="false">
      <c r="A57" s="6" t="s">
        <v>109</v>
      </c>
      <c r="B57" s="7" t="n">
        <v>1500</v>
      </c>
      <c r="C57" s="8" t="s">
        <v>87</v>
      </c>
      <c r="D57" s="9" t="s">
        <v>110</v>
      </c>
    </row>
    <row r="58" customFormat="false" ht="18" hidden="false" customHeight="true" outlineLevel="0" collapsed="false">
      <c r="A58" s="6" t="s">
        <v>111</v>
      </c>
      <c r="B58" s="7" t="n">
        <v>2500</v>
      </c>
      <c r="C58" s="8" t="s">
        <v>87</v>
      </c>
      <c r="D58" s="9" t="s">
        <v>112</v>
      </c>
    </row>
    <row r="59" customFormat="false" ht="18" hidden="false" customHeight="true" outlineLevel="0" collapsed="false">
      <c r="A59" s="6" t="s">
        <v>113</v>
      </c>
      <c r="B59" s="7" t="n">
        <v>5000</v>
      </c>
      <c r="C59" s="8" t="s">
        <v>114</v>
      </c>
      <c r="D59" s="9" t="s">
        <v>115</v>
      </c>
    </row>
    <row r="60" customFormat="false" ht="18" hidden="false" customHeight="true" outlineLevel="0" collapsed="false">
      <c r="A60" s="6" t="s">
        <v>116</v>
      </c>
      <c r="B60" s="7" t="n">
        <v>10000</v>
      </c>
      <c r="C60" s="8" t="s">
        <v>114</v>
      </c>
      <c r="D60" s="9" t="s">
        <v>117</v>
      </c>
    </row>
  </sheetData>
  <mergeCells count="5">
    <mergeCell ref="A1:D1"/>
    <mergeCell ref="A2:D2"/>
    <mergeCell ref="A3:D3"/>
    <mergeCell ref="A18:D18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  <col collapsed="false" customWidth="true" hidden="false" outlineLevel="0" max="8" min="8" style="1" width="30"/>
  </cols>
  <sheetData>
    <row r="1" customFormat="false" ht="27.75" hidden="false" customHeight="true" outlineLevel="0" collapsed="false">
      <c r="A1" s="2" t="s">
        <v>118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21.75" hidden="false" customHeight="true" outlineLevel="0" collapsed="false">
      <c r="A3" s="15" t="s">
        <v>119</v>
      </c>
      <c r="B3" s="15" t="s">
        <v>120</v>
      </c>
      <c r="C3" s="15" t="s">
        <v>121</v>
      </c>
      <c r="D3" s="15" t="s">
        <v>122</v>
      </c>
      <c r="E3" s="15" t="s">
        <v>123</v>
      </c>
      <c r="F3" s="15" t="s">
        <v>124</v>
      </c>
      <c r="G3" s="15" t="s">
        <v>125</v>
      </c>
      <c r="H3" s="15" t="s">
        <v>6</v>
      </c>
    </row>
    <row r="4" customFormat="false" ht="30" hidden="false" customHeight="true" outlineLevel="0" collapsed="false">
      <c r="A4" s="16" t="s">
        <v>126</v>
      </c>
      <c r="B4" s="7" t="n">
        <v>250</v>
      </c>
      <c r="C4" s="17" t="n">
        <v>250</v>
      </c>
      <c r="D4" s="18" t="n">
        <v>0.9</v>
      </c>
      <c r="E4" s="19" t="n">
        <f aca="false">C4*D4</f>
        <v>225</v>
      </c>
      <c r="F4" s="20" t="n">
        <f aca="false">B4*C4*D4</f>
        <v>56250</v>
      </c>
      <c r="G4" s="20" t="n">
        <v>0</v>
      </c>
      <c r="H4" s="21" t="s">
        <v>127</v>
      </c>
    </row>
    <row r="5" customFormat="false" ht="30" hidden="false" customHeight="true" outlineLevel="0" collapsed="false">
      <c r="A5" s="22" t="s">
        <v>128</v>
      </c>
      <c r="B5" s="7" t="n">
        <v>24.99</v>
      </c>
      <c r="C5" s="17" t="n">
        <v>250</v>
      </c>
      <c r="D5" s="18" t="n">
        <v>0.85</v>
      </c>
      <c r="E5" s="23" t="n">
        <f aca="false">C5*D5</f>
        <v>212.5</v>
      </c>
      <c r="F5" s="24" t="n">
        <f aca="false">B5*C5*D5</f>
        <v>5310.375</v>
      </c>
      <c r="G5" s="24" t="n">
        <f aca="false">B5*C5*D5*(1-0.1)</f>
        <v>4779.3375</v>
      </c>
      <c r="H5" s="25" t="s">
        <v>129</v>
      </c>
    </row>
    <row r="6" customFormat="false" ht="30" hidden="false" customHeight="true" outlineLevel="0" collapsed="false">
      <c r="A6" s="26" t="s">
        <v>130</v>
      </c>
      <c r="B6" s="7" t="n">
        <v>34.99</v>
      </c>
      <c r="C6" s="17" t="n">
        <v>250</v>
      </c>
      <c r="D6" s="18" t="n">
        <v>0.8</v>
      </c>
      <c r="E6" s="27" t="n">
        <f aca="false">C6*D6</f>
        <v>200</v>
      </c>
      <c r="F6" s="28" t="n">
        <f aca="false">B6*C6*D6</f>
        <v>6998</v>
      </c>
      <c r="G6" s="28" t="n">
        <f aca="false">B6*C6*D6*(1-0.1)</f>
        <v>6298.2</v>
      </c>
      <c r="H6" s="29" t="s">
        <v>131</v>
      </c>
    </row>
    <row r="7" customFormat="false" ht="30" hidden="false" customHeight="true" outlineLevel="0" collapsed="false">
      <c r="A7" s="30" t="s">
        <v>132</v>
      </c>
      <c r="B7" s="7" t="n">
        <v>39.99</v>
      </c>
      <c r="C7" s="17" t="n">
        <v>500</v>
      </c>
      <c r="D7" s="18" t="n">
        <v>0.7</v>
      </c>
      <c r="E7" s="31" t="n">
        <f aca="false">C7*D7</f>
        <v>350</v>
      </c>
      <c r="F7" s="32" t="n">
        <f aca="false">B7*C7*D7</f>
        <v>13996.5</v>
      </c>
      <c r="G7" s="32" t="n">
        <f aca="false">49.99*C7*D7*(1-0.18)</f>
        <v>14347.13</v>
      </c>
      <c r="H7" s="33" t="s">
        <v>133</v>
      </c>
    </row>
    <row r="8" customFormat="false" ht="21.75" hidden="false" customHeight="true" outlineLevel="0" collapsed="false">
      <c r="A8" s="34" t="s">
        <v>134</v>
      </c>
      <c r="B8" s="35"/>
      <c r="C8" s="35"/>
      <c r="D8" s="35"/>
      <c r="E8" s="36" t="n">
        <f aca="false">SUM(E4:E7)</f>
        <v>987.5</v>
      </c>
      <c r="F8" s="37" t="n">
        <f aca="false">SUM(F4:F7)</f>
        <v>82554.875</v>
      </c>
      <c r="G8" s="37" t="n">
        <f aca="false">SUM(G4:G7)</f>
        <v>25424.6675</v>
      </c>
      <c r="H8" s="38" t="s">
        <v>135</v>
      </c>
    </row>
    <row r="10" customFormat="false" ht="19.5" hidden="false" customHeight="true" outlineLevel="0" collapsed="false">
      <c r="A10" s="39" t="s">
        <v>136</v>
      </c>
      <c r="B10" s="39"/>
      <c r="C10" s="39"/>
      <c r="D10" s="39"/>
      <c r="E10" s="39"/>
      <c r="F10" s="39"/>
      <c r="G10" s="39"/>
      <c r="H10" s="39"/>
    </row>
    <row r="11" customFormat="false" ht="18" hidden="false" customHeight="true" outlineLevel="0" collapsed="false">
      <c r="A11" s="40" t="s">
        <v>137</v>
      </c>
      <c r="B11" s="41" t="n">
        <f aca="false">250*250 + 250*24.99 + 250*34.99 + 500*39.99</f>
        <v>97490</v>
      </c>
      <c r="C11" s="42" t="s">
        <v>138</v>
      </c>
      <c r="D11" s="42"/>
      <c r="E11" s="42"/>
      <c r="F11" s="42"/>
      <c r="G11" s="42"/>
      <c r="H11" s="42"/>
    </row>
    <row r="12" customFormat="false" ht="18" hidden="false" customHeight="true" outlineLevel="0" collapsed="false">
      <c r="A12" s="40" t="s">
        <v>139</v>
      </c>
      <c r="B12" s="43" t="s">
        <v>140</v>
      </c>
      <c r="C12" s="42" t="s">
        <v>141</v>
      </c>
      <c r="D12" s="42"/>
      <c r="E12" s="42"/>
      <c r="F12" s="42"/>
      <c r="G12" s="42"/>
      <c r="H12" s="42"/>
    </row>
    <row r="13" customFormat="false" ht="18" hidden="false" customHeight="true" outlineLevel="0" collapsed="false">
      <c r="A13" s="40" t="s">
        <v>142</v>
      </c>
      <c r="B13" s="43" t="s">
        <v>143</v>
      </c>
      <c r="C13" s="42" t="s">
        <v>144</v>
      </c>
      <c r="D13" s="42"/>
      <c r="E13" s="42"/>
      <c r="F13" s="42"/>
      <c r="G13" s="42"/>
      <c r="H13" s="42"/>
    </row>
    <row r="14" customFormat="false" ht="18" hidden="false" customHeight="true" outlineLevel="0" collapsed="false">
      <c r="A14" s="40" t="s">
        <v>145</v>
      </c>
      <c r="B14" s="43" t="s">
        <v>146</v>
      </c>
      <c r="C14" s="42" t="s">
        <v>147</v>
      </c>
      <c r="D14" s="42"/>
      <c r="E14" s="42"/>
      <c r="F14" s="42"/>
      <c r="G14" s="42"/>
      <c r="H14" s="42"/>
    </row>
    <row r="15" customFormat="false" ht="18" hidden="false" customHeight="true" outlineLevel="0" collapsed="false">
      <c r="A15" s="40" t="s">
        <v>148</v>
      </c>
      <c r="B15" s="6"/>
      <c r="C15" s="42" t="s">
        <v>149</v>
      </c>
      <c r="D15" s="42"/>
      <c r="E15" s="42"/>
      <c r="F15" s="42"/>
      <c r="G15" s="42"/>
      <c r="H15" s="42"/>
    </row>
  </sheetData>
  <mergeCells count="7">
    <mergeCell ref="A1:H1"/>
    <mergeCell ref="A10:H10"/>
    <mergeCell ref="C11:H11"/>
    <mergeCell ref="C12:H12"/>
    <mergeCell ref="C13:H13"/>
    <mergeCell ref="C14:H14"/>
    <mergeCell ref="C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2"/>
    <col collapsed="false" customWidth="true" hidden="false" outlineLevel="0" max="20" min="20" style="1" width="14"/>
  </cols>
  <sheetData>
    <row r="1" customFormat="false" ht="27.7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9.5" hidden="false" customHeight="true" outlineLevel="0" collapsed="false">
      <c r="A2" s="44" t="s">
        <v>151</v>
      </c>
      <c r="B2" s="45" t="s">
        <v>152</v>
      </c>
      <c r="C2" s="45" t="s">
        <v>153</v>
      </c>
      <c r="D2" s="46" t="s">
        <v>154</v>
      </c>
      <c r="E2" s="46" t="s">
        <v>155</v>
      </c>
      <c r="F2" s="46" t="s">
        <v>156</v>
      </c>
      <c r="G2" s="47" t="s">
        <v>157</v>
      </c>
      <c r="H2" s="47" t="s">
        <v>158</v>
      </c>
      <c r="I2" s="47" t="s">
        <v>159</v>
      </c>
      <c r="J2" s="48" t="s">
        <v>160</v>
      </c>
      <c r="K2" s="48" t="s">
        <v>161</v>
      </c>
      <c r="L2" s="48" t="s">
        <v>162</v>
      </c>
      <c r="M2" s="48" t="s">
        <v>163</v>
      </c>
      <c r="N2" s="48" t="s">
        <v>164</v>
      </c>
      <c r="O2" s="48" t="s">
        <v>165</v>
      </c>
      <c r="P2" s="48" t="s">
        <v>166</v>
      </c>
      <c r="Q2" s="48" t="s">
        <v>167</v>
      </c>
      <c r="R2" s="48" t="s">
        <v>168</v>
      </c>
      <c r="S2" s="48" t="s">
        <v>169</v>
      </c>
      <c r="T2" s="49" t="s">
        <v>170</v>
      </c>
    </row>
    <row r="3" customFormat="false" ht="13.5" hidden="false" customHeight="true" outlineLevel="0" collapsed="false">
      <c r="A3" s="50" t="s">
        <v>171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customFormat="false" ht="19.5" hidden="false" customHeight="true" outlineLevel="0" collapsed="false">
      <c r="A4" s="51" t="s">
        <v>172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customFormat="false" ht="15" hidden="false" customHeight="true" outlineLevel="0" collapsed="false">
      <c r="A5" s="52" t="s">
        <v>173</v>
      </c>
      <c r="B5" s="53" t="n">
        <v>0</v>
      </c>
      <c r="C5" s="53" t="n">
        <v>0</v>
      </c>
      <c r="D5" s="53" t="n">
        <v>18750</v>
      </c>
      <c r="E5" s="53" t="n">
        <v>25000</v>
      </c>
      <c r="F5" s="53" t="n">
        <v>12500</v>
      </c>
      <c r="G5" s="53" t="n">
        <v>0</v>
      </c>
      <c r="H5" s="53" t="n">
        <v>0</v>
      </c>
      <c r="I5" s="53" t="n">
        <v>0</v>
      </c>
      <c r="J5" s="53" t="n">
        <v>0</v>
      </c>
      <c r="K5" s="53" t="n">
        <v>0</v>
      </c>
      <c r="L5" s="53" t="n">
        <v>0</v>
      </c>
      <c r="M5" s="53" t="n">
        <v>0</v>
      </c>
      <c r="N5" s="53" t="n">
        <v>0</v>
      </c>
      <c r="O5" s="53" t="n">
        <v>0</v>
      </c>
      <c r="P5" s="53" t="n">
        <v>0</v>
      </c>
      <c r="Q5" s="53" t="n">
        <v>0</v>
      </c>
      <c r="R5" s="53" t="n">
        <v>0</v>
      </c>
      <c r="S5" s="53" t="n">
        <v>0</v>
      </c>
      <c r="T5" s="54" t="n">
        <f aca="false">SUM(B5:S5)</f>
        <v>56250</v>
      </c>
    </row>
    <row r="6" customFormat="false" ht="15" hidden="false" customHeight="true" outlineLevel="0" collapsed="false">
      <c r="A6" s="52" t="s">
        <v>174</v>
      </c>
      <c r="B6" s="53" t="n">
        <v>0</v>
      </c>
      <c r="C6" s="53" t="n">
        <v>0</v>
      </c>
      <c r="D6" s="53" t="n">
        <v>104</v>
      </c>
      <c r="E6" s="53" t="n">
        <v>312</v>
      </c>
      <c r="F6" s="53" t="n">
        <v>441</v>
      </c>
      <c r="G6" s="53" t="n">
        <v>439</v>
      </c>
      <c r="H6" s="53" t="n">
        <v>439</v>
      </c>
      <c r="I6" s="53" t="n">
        <v>437</v>
      </c>
      <c r="J6" s="53" t="n">
        <v>435</v>
      </c>
      <c r="K6" s="53" t="n">
        <v>433</v>
      </c>
      <c r="L6" s="53" t="n">
        <v>431</v>
      </c>
      <c r="M6" s="53" t="n">
        <v>429</v>
      </c>
      <c r="N6" s="53" t="n">
        <v>429</v>
      </c>
      <c r="O6" s="53" t="n">
        <v>427</v>
      </c>
      <c r="P6" s="53" t="n">
        <v>425</v>
      </c>
      <c r="Q6" s="53" t="n">
        <v>423</v>
      </c>
      <c r="R6" s="53" t="n">
        <v>421</v>
      </c>
      <c r="S6" s="53" t="n">
        <v>419</v>
      </c>
      <c r="T6" s="54" t="n">
        <f aca="false">SUM(B6:S6)</f>
        <v>6444</v>
      </c>
    </row>
    <row r="7" customFormat="false" ht="15" hidden="false" customHeight="true" outlineLevel="0" collapsed="false">
      <c r="A7" s="52" t="s">
        <v>175</v>
      </c>
      <c r="B7" s="53" t="n">
        <v>0</v>
      </c>
      <c r="C7" s="53" t="n">
        <v>0</v>
      </c>
      <c r="D7" s="53" t="n">
        <v>146</v>
      </c>
      <c r="E7" s="53" t="n">
        <v>379</v>
      </c>
      <c r="F7" s="53" t="n">
        <v>580</v>
      </c>
      <c r="G7" s="53" t="n">
        <v>574</v>
      </c>
      <c r="H7" s="53" t="n">
        <v>569</v>
      </c>
      <c r="I7" s="53" t="n">
        <v>566</v>
      </c>
      <c r="J7" s="53" t="n">
        <v>560</v>
      </c>
      <c r="K7" s="53" t="n">
        <v>557</v>
      </c>
      <c r="L7" s="53" t="n">
        <v>551</v>
      </c>
      <c r="M7" s="53" t="n">
        <v>548</v>
      </c>
      <c r="N7" s="53" t="n">
        <v>542</v>
      </c>
      <c r="O7" s="53" t="n">
        <v>539</v>
      </c>
      <c r="P7" s="53" t="n">
        <v>534</v>
      </c>
      <c r="Q7" s="53" t="n">
        <v>531</v>
      </c>
      <c r="R7" s="53" t="n">
        <v>525</v>
      </c>
      <c r="S7" s="53" t="n">
        <v>522</v>
      </c>
      <c r="T7" s="54" t="n">
        <f aca="false">SUM(B7:S7)</f>
        <v>8223</v>
      </c>
    </row>
    <row r="8" customFormat="false" ht="15" hidden="false" customHeight="true" outlineLevel="0" collapsed="false">
      <c r="A8" s="52" t="s">
        <v>176</v>
      </c>
      <c r="B8" s="53" t="n">
        <v>0</v>
      </c>
      <c r="C8" s="53" t="n">
        <v>0</v>
      </c>
      <c r="D8" s="53" t="n">
        <v>0</v>
      </c>
      <c r="E8" s="53" t="n">
        <v>0</v>
      </c>
      <c r="F8" s="53" t="n">
        <v>167</v>
      </c>
      <c r="G8" s="53" t="n">
        <v>497</v>
      </c>
      <c r="H8" s="53" t="n">
        <v>826</v>
      </c>
      <c r="I8" s="53" t="n">
        <v>1150</v>
      </c>
      <c r="J8" s="53" t="n">
        <v>1421</v>
      </c>
      <c r="K8" s="53" t="n">
        <v>1400</v>
      </c>
      <c r="L8" s="53" t="n">
        <v>1383</v>
      </c>
      <c r="M8" s="53" t="n">
        <v>1366</v>
      </c>
      <c r="N8" s="53" t="n">
        <v>1350</v>
      </c>
      <c r="O8" s="53" t="n">
        <v>1337</v>
      </c>
      <c r="P8" s="53" t="n">
        <v>1321</v>
      </c>
      <c r="Q8" s="53" t="n">
        <v>1304</v>
      </c>
      <c r="R8" s="53" t="n">
        <v>1287</v>
      </c>
      <c r="S8" s="53" t="n">
        <v>1271</v>
      </c>
      <c r="T8" s="54" t="n">
        <f aca="false">SUM(B8:S8)</f>
        <v>16080</v>
      </c>
    </row>
    <row r="9" customFormat="false" ht="15" hidden="false" customHeight="true" outlineLevel="0" collapsed="false">
      <c r="A9" s="52" t="s">
        <v>177</v>
      </c>
      <c r="B9" s="53" t="n">
        <v>0</v>
      </c>
      <c r="C9" s="53" t="n">
        <v>0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0</v>
      </c>
      <c r="I9" s="53" t="n">
        <v>0</v>
      </c>
      <c r="J9" s="53" t="n">
        <v>312</v>
      </c>
      <c r="K9" s="53" t="n">
        <v>725</v>
      </c>
      <c r="L9" s="53" t="n">
        <v>1129</v>
      </c>
      <c r="M9" s="53" t="n">
        <v>1633</v>
      </c>
      <c r="N9" s="53" t="n">
        <v>2129</v>
      </c>
      <c r="O9" s="53" t="n">
        <v>2724</v>
      </c>
      <c r="P9" s="53" t="n">
        <v>3308</v>
      </c>
      <c r="Q9" s="53" t="n">
        <v>3987</v>
      </c>
      <c r="R9" s="53" t="n">
        <v>4657</v>
      </c>
      <c r="S9" s="53" t="n">
        <v>5316</v>
      </c>
      <c r="T9" s="54" t="n">
        <f aca="false">SUM(B9:S9)</f>
        <v>25920</v>
      </c>
    </row>
    <row r="10" customFormat="false" ht="15" hidden="false" customHeight="true" outlineLevel="0" collapsed="false">
      <c r="A10" s="52" t="s">
        <v>178</v>
      </c>
      <c r="B10" s="53" t="n">
        <v>0</v>
      </c>
      <c r="C10" s="53" t="n">
        <v>0</v>
      </c>
      <c r="D10" s="53" t="n">
        <v>0</v>
      </c>
      <c r="E10" s="53" t="n">
        <v>0</v>
      </c>
      <c r="F10" s="53" t="n">
        <v>0</v>
      </c>
      <c r="G10" s="53" t="n">
        <v>0</v>
      </c>
      <c r="H10" s="53" t="n">
        <v>0</v>
      </c>
      <c r="I10" s="53" t="n">
        <v>0</v>
      </c>
      <c r="J10" s="53" t="n">
        <v>0</v>
      </c>
      <c r="K10" s="53" t="n">
        <v>0</v>
      </c>
      <c r="L10" s="53" t="n">
        <v>0</v>
      </c>
      <c r="M10" s="53" t="n">
        <v>0</v>
      </c>
      <c r="N10" s="53" t="n">
        <v>0</v>
      </c>
      <c r="O10" s="53" t="n">
        <v>0</v>
      </c>
      <c r="P10" s="53" t="n">
        <v>0</v>
      </c>
      <c r="Q10" s="53" t="n">
        <v>0</v>
      </c>
      <c r="R10" s="53" t="n">
        <v>0</v>
      </c>
      <c r="S10" s="53" t="n">
        <v>0</v>
      </c>
      <c r="T10" s="54" t="n">
        <f aca="false">SUM(B10:S10)</f>
        <v>0</v>
      </c>
    </row>
    <row r="11" customFormat="false" ht="15" hidden="false" customHeight="true" outlineLevel="0" collapsed="false">
      <c r="A11" s="55" t="s">
        <v>179</v>
      </c>
      <c r="B11" s="56" t="n">
        <v>0</v>
      </c>
      <c r="C11" s="56" t="n">
        <v>0</v>
      </c>
      <c r="D11" s="56" t="n">
        <v>19000</v>
      </c>
      <c r="E11" s="56" t="n">
        <v>25691</v>
      </c>
      <c r="F11" s="56" t="n">
        <v>13688</v>
      </c>
      <c r="G11" s="56" t="n">
        <v>1510</v>
      </c>
      <c r="H11" s="56" t="n">
        <v>1834</v>
      </c>
      <c r="I11" s="56" t="n">
        <v>2153</v>
      </c>
      <c r="J11" s="56" t="n">
        <v>2728</v>
      </c>
      <c r="K11" s="56" t="n">
        <v>3115</v>
      </c>
      <c r="L11" s="56" t="n">
        <v>3494</v>
      </c>
      <c r="M11" s="56" t="n">
        <v>3976</v>
      </c>
      <c r="N11" s="56" t="n">
        <v>4450</v>
      </c>
      <c r="O11" s="56" t="n">
        <v>5027</v>
      </c>
      <c r="P11" s="56" t="n">
        <v>5588</v>
      </c>
      <c r="Q11" s="56" t="n">
        <v>6245</v>
      </c>
      <c r="R11" s="56" t="n">
        <v>6890</v>
      </c>
      <c r="S11" s="56" t="n">
        <v>7528</v>
      </c>
      <c r="T11" s="57" t="n">
        <f aca="false">SUM(B11:S11)</f>
        <v>112917</v>
      </c>
    </row>
    <row r="13" customFormat="false" ht="19.5" hidden="false" customHeight="true" outlineLevel="0" collapsed="false">
      <c r="A13" s="58" t="s">
        <v>180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customFormat="false" ht="15" hidden="false" customHeight="true" outlineLevel="0" collapsed="false">
      <c r="A14" s="52" t="s">
        <v>181</v>
      </c>
      <c r="B14" s="53" t="n">
        <v>103</v>
      </c>
      <c r="C14" s="53" t="n">
        <v>103</v>
      </c>
      <c r="D14" s="53" t="n">
        <v>103</v>
      </c>
      <c r="E14" s="53" t="n">
        <v>103</v>
      </c>
      <c r="F14" s="53" t="n">
        <v>103</v>
      </c>
      <c r="G14" s="53" t="n">
        <v>103</v>
      </c>
      <c r="H14" s="53" t="n">
        <v>103</v>
      </c>
      <c r="I14" s="53" t="n">
        <v>103</v>
      </c>
      <c r="J14" s="53" t="n">
        <v>103</v>
      </c>
      <c r="K14" s="53" t="n">
        <v>103</v>
      </c>
      <c r="L14" s="53" t="n">
        <v>103</v>
      </c>
      <c r="M14" s="53" t="n">
        <v>103</v>
      </c>
      <c r="N14" s="53" t="n">
        <v>103</v>
      </c>
      <c r="O14" s="53" t="n">
        <v>103</v>
      </c>
      <c r="P14" s="53" t="n">
        <v>103</v>
      </c>
      <c r="Q14" s="53" t="n">
        <v>103</v>
      </c>
      <c r="R14" s="53" t="n">
        <v>103</v>
      </c>
      <c r="S14" s="53" t="n">
        <v>103</v>
      </c>
      <c r="T14" s="54" t="n">
        <f aca="false">SUM(B14:S14)</f>
        <v>1854</v>
      </c>
    </row>
    <row r="15" customFormat="false" ht="15" hidden="false" customHeight="true" outlineLevel="0" collapsed="false">
      <c r="A15" s="52" t="s">
        <v>182</v>
      </c>
      <c r="B15" s="53" t="n">
        <v>3000</v>
      </c>
      <c r="C15" s="53" t="n">
        <v>3000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4" t="n">
        <f aca="false">SUM(B15:S15)</f>
        <v>6000</v>
      </c>
    </row>
    <row r="16" customFormat="false" ht="15" hidden="false" customHeight="true" outlineLevel="0" collapsed="false">
      <c r="A16" s="52" t="s">
        <v>183</v>
      </c>
      <c r="B16" s="53" t="n">
        <v>0</v>
      </c>
      <c r="C16" s="53" t="n">
        <v>675</v>
      </c>
      <c r="D16" s="53" t="n">
        <v>675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3" t="n">
        <v>0</v>
      </c>
      <c r="P16" s="53" t="n">
        <v>0</v>
      </c>
      <c r="Q16" s="53" t="n">
        <v>0</v>
      </c>
      <c r="R16" s="53" t="n">
        <v>0</v>
      </c>
      <c r="S16" s="53" t="n">
        <v>0</v>
      </c>
      <c r="T16" s="54" t="n">
        <f aca="false">SUM(B16:S16)</f>
        <v>1350</v>
      </c>
    </row>
    <row r="17" customFormat="false" ht="15" hidden="false" customHeight="true" outlineLevel="0" collapsed="false">
      <c r="A17" s="52" t="s">
        <v>184</v>
      </c>
      <c r="B17" s="53" t="n">
        <v>0</v>
      </c>
      <c r="C17" s="53" t="n">
        <v>0</v>
      </c>
      <c r="D17" s="53" t="n">
        <v>4050</v>
      </c>
      <c r="E17" s="53" t="n">
        <v>4050</v>
      </c>
      <c r="F17" s="53" t="n">
        <v>4050</v>
      </c>
      <c r="G17" s="53" t="n">
        <v>4050</v>
      </c>
      <c r="H17" s="53" t="n">
        <v>4050</v>
      </c>
      <c r="I17" s="53" t="n">
        <v>4050</v>
      </c>
      <c r="J17" s="53" t="n">
        <v>4050</v>
      </c>
      <c r="K17" s="53" t="n">
        <v>4050</v>
      </c>
      <c r="L17" s="53" t="n">
        <v>4050</v>
      </c>
      <c r="M17" s="53" t="n">
        <v>4050</v>
      </c>
      <c r="N17" s="53" t="n">
        <v>4050</v>
      </c>
      <c r="O17" s="53" t="n">
        <v>4050</v>
      </c>
      <c r="P17" s="53" t="n">
        <v>4050</v>
      </c>
      <c r="Q17" s="53" t="n">
        <v>4050</v>
      </c>
      <c r="R17" s="53" t="n">
        <v>4050</v>
      </c>
      <c r="S17" s="53" t="n">
        <v>4050</v>
      </c>
      <c r="T17" s="54" t="n">
        <f aca="false">SUM(B17:S17)</f>
        <v>64800</v>
      </c>
    </row>
    <row r="18" customFormat="false" ht="15" hidden="false" customHeight="true" outlineLevel="0" collapsed="false">
      <c r="A18" s="52" t="s">
        <v>185</v>
      </c>
      <c r="B18" s="53" t="n">
        <v>0</v>
      </c>
      <c r="C18" s="53" t="n">
        <v>0</v>
      </c>
      <c r="D18" s="53" t="n">
        <v>608</v>
      </c>
      <c r="E18" s="53" t="n">
        <v>822</v>
      </c>
      <c r="F18" s="53" t="n">
        <v>438</v>
      </c>
      <c r="G18" s="53" t="n">
        <v>48</v>
      </c>
      <c r="H18" s="53" t="n">
        <v>59</v>
      </c>
      <c r="I18" s="53" t="n">
        <v>69</v>
      </c>
      <c r="J18" s="53" t="n">
        <v>87</v>
      </c>
      <c r="K18" s="53" t="n">
        <v>100</v>
      </c>
      <c r="L18" s="53" t="n">
        <v>112</v>
      </c>
      <c r="M18" s="53" t="n">
        <v>127</v>
      </c>
      <c r="N18" s="53" t="n">
        <v>142</v>
      </c>
      <c r="O18" s="53" t="n">
        <v>161</v>
      </c>
      <c r="P18" s="53" t="n">
        <v>179</v>
      </c>
      <c r="Q18" s="53" t="n">
        <v>200</v>
      </c>
      <c r="R18" s="53" t="n">
        <v>220</v>
      </c>
      <c r="S18" s="53" t="n">
        <v>241</v>
      </c>
      <c r="T18" s="54" t="n">
        <f aca="false">SUM(B18:S18)</f>
        <v>3613</v>
      </c>
    </row>
    <row r="19" customFormat="false" ht="15" hidden="false" customHeight="true" outlineLevel="0" collapsed="false">
      <c r="A19" s="52" t="s">
        <v>186</v>
      </c>
      <c r="B19" s="53" t="n">
        <v>0</v>
      </c>
      <c r="C19" s="53" t="n">
        <v>0</v>
      </c>
      <c r="D19" s="53" t="n">
        <v>22</v>
      </c>
      <c r="E19" s="53" t="n">
        <v>57</v>
      </c>
      <c r="F19" s="53" t="n">
        <v>86</v>
      </c>
      <c r="G19" s="53" t="n">
        <v>98</v>
      </c>
      <c r="H19" s="53" t="n">
        <v>110</v>
      </c>
      <c r="I19" s="53" t="n">
        <v>121</v>
      </c>
      <c r="J19" s="53" t="n">
        <v>130</v>
      </c>
      <c r="K19" s="53" t="n">
        <v>141</v>
      </c>
      <c r="L19" s="53" t="n">
        <v>152</v>
      </c>
      <c r="M19" s="53" t="n">
        <v>166</v>
      </c>
      <c r="N19" s="53" t="n">
        <v>180</v>
      </c>
      <c r="O19" s="53" t="n">
        <v>198</v>
      </c>
      <c r="P19" s="53" t="n">
        <v>214</v>
      </c>
      <c r="Q19" s="53" t="n">
        <v>234</v>
      </c>
      <c r="R19" s="53" t="n">
        <v>253</v>
      </c>
      <c r="S19" s="53" t="n">
        <v>272</v>
      </c>
      <c r="T19" s="54" t="n">
        <f aca="false">SUM(B19:S19)</f>
        <v>2434</v>
      </c>
    </row>
    <row r="20" customFormat="false" ht="15" hidden="false" customHeight="true" outlineLevel="0" collapsed="false">
      <c r="A20" s="52" t="s">
        <v>187</v>
      </c>
      <c r="B20" s="53" t="n">
        <v>0</v>
      </c>
      <c r="C20" s="53" t="n">
        <v>0</v>
      </c>
      <c r="D20" s="53" t="n">
        <v>75</v>
      </c>
      <c r="E20" s="53" t="n">
        <v>75</v>
      </c>
      <c r="F20" s="53" t="n">
        <v>75</v>
      </c>
      <c r="G20" s="53" t="n">
        <v>75</v>
      </c>
      <c r="H20" s="53" t="n">
        <v>75</v>
      </c>
      <c r="I20" s="53" t="n">
        <v>75</v>
      </c>
      <c r="J20" s="53" t="n">
        <v>75</v>
      </c>
      <c r="K20" s="53" t="n">
        <v>75</v>
      </c>
      <c r="L20" s="53" t="n">
        <v>75</v>
      </c>
      <c r="M20" s="53" t="n">
        <v>75</v>
      </c>
      <c r="N20" s="53" t="n">
        <v>75</v>
      </c>
      <c r="O20" s="53" t="n">
        <v>75</v>
      </c>
      <c r="P20" s="53" t="n">
        <v>75</v>
      </c>
      <c r="Q20" s="53" t="n">
        <v>75</v>
      </c>
      <c r="R20" s="53" t="n">
        <v>75</v>
      </c>
      <c r="S20" s="53" t="n">
        <v>75</v>
      </c>
      <c r="T20" s="54" t="n">
        <f aca="false">SUM(B20:S20)</f>
        <v>1200</v>
      </c>
    </row>
    <row r="21" customFormat="false" ht="15" hidden="false" customHeight="true" outlineLevel="0" collapsed="false">
      <c r="A21" s="52" t="s">
        <v>188</v>
      </c>
      <c r="B21" s="53" t="n">
        <v>0</v>
      </c>
      <c r="C21" s="53" t="n">
        <v>0</v>
      </c>
      <c r="D21" s="53" t="n">
        <v>2500</v>
      </c>
      <c r="E21" s="53" t="n">
        <v>2500</v>
      </c>
      <c r="F21" s="53" t="n">
        <v>2500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3" t="n">
        <v>0</v>
      </c>
      <c r="P21" s="53" t="n">
        <v>0</v>
      </c>
      <c r="Q21" s="53" t="n">
        <v>1500</v>
      </c>
      <c r="R21" s="53" t="n">
        <v>1500</v>
      </c>
      <c r="S21" s="53" t="n">
        <v>1500</v>
      </c>
      <c r="T21" s="54" t="n">
        <f aca="false">SUM(B21:S21)</f>
        <v>12000</v>
      </c>
    </row>
    <row r="22" customFormat="false" ht="15" hidden="false" customHeight="true" outlineLevel="0" collapsed="false">
      <c r="A22" s="59" t="s">
        <v>189</v>
      </c>
      <c r="B22" s="60" t="n">
        <v>3103</v>
      </c>
      <c r="C22" s="60" t="n">
        <v>3778</v>
      </c>
      <c r="D22" s="60" t="n">
        <v>8033</v>
      </c>
      <c r="E22" s="60" t="n">
        <v>7607</v>
      </c>
      <c r="F22" s="60" t="n">
        <v>7252</v>
      </c>
      <c r="G22" s="60" t="n">
        <v>4374</v>
      </c>
      <c r="H22" s="60" t="n">
        <v>4397</v>
      </c>
      <c r="I22" s="60" t="n">
        <v>4418</v>
      </c>
      <c r="J22" s="60" t="n">
        <v>4445</v>
      </c>
      <c r="K22" s="60" t="n">
        <v>4469</v>
      </c>
      <c r="L22" s="60" t="n">
        <v>4492</v>
      </c>
      <c r="M22" s="60" t="n">
        <v>4521</v>
      </c>
      <c r="N22" s="60" t="n">
        <v>4550</v>
      </c>
      <c r="O22" s="60" t="n">
        <v>4587</v>
      </c>
      <c r="P22" s="60" t="n">
        <v>4621</v>
      </c>
      <c r="Q22" s="60" t="n">
        <v>6162</v>
      </c>
      <c r="R22" s="60" t="n">
        <v>6201</v>
      </c>
      <c r="S22" s="60" t="n">
        <v>6241</v>
      </c>
      <c r="T22" s="61" t="n">
        <f aca="false">SUM(B22:S22)</f>
        <v>93251</v>
      </c>
    </row>
    <row r="24" customFormat="false" ht="19.5" hidden="false" customHeight="true" outlineLevel="0" collapsed="false">
      <c r="A24" s="39" t="s">
        <v>190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customFormat="false" ht="15" hidden="false" customHeight="true" outlineLevel="0" collapsed="false">
      <c r="A25" s="62" t="s">
        <v>191</v>
      </c>
      <c r="B25" s="63" t="n">
        <v>-3103</v>
      </c>
      <c r="C25" s="63" t="n">
        <v>-3778</v>
      </c>
      <c r="D25" s="63" t="n">
        <v>10967</v>
      </c>
      <c r="E25" s="63" t="n">
        <v>18084</v>
      </c>
      <c r="F25" s="63" t="n">
        <v>6436</v>
      </c>
      <c r="G25" s="63" t="n">
        <v>-2864</v>
      </c>
      <c r="H25" s="63" t="n">
        <v>-2563</v>
      </c>
      <c r="I25" s="63" t="n">
        <v>-2265</v>
      </c>
      <c r="J25" s="63" t="n">
        <v>-1717</v>
      </c>
      <c r="K25" s="63" t="n">
        <v>-1354</v>
      </c>
      <c r="L25" s="63" t="n">
        <v>-998</v>
      </c>
      <c r="M25" s="63" t="n">
        <v>-545</v>
      </c>
      <c r="N25" s="63" t="n">
        <v>-100</v>
      </c>
      <c r="O25" s="63" t="n">
        <v>440</v>
      </c>
      <c r="P25" s="63" t="n">
        <v>967</v>
      </c>
      <c r="Q25" s="63" t="n">
        <v>83</v>
      </c>
      <c r="R25" s="63" t="n">
        <v>689</v>
      </c>
      <c r="S25" s="63" t="n">
        <v>1287</v>
      </c>
      <c r="T25" s="37" t="n">
        <f aca="false">SUM(B25:S25)</f>
        <v>19666</v>
      </c>
    </row>
    <row r="26" customFormat="false" ht="15" hidden="false" customHeight="true" outlineLevel="0" collapsed="false">
      <c r="A26" s="52" t="s">
        <v>192</v>
      </c>
      <c r="B26" s="64" t="n">
        <v>0</v>
      </c>
      <c r="C26" s="64" t="n">
        <v>0</v>
      </c>
      <c r="D26" s="64" t="n">
        <v>57.7</v>
      </c>
      <c r="E26" s="64" t="n">
        <v>70.4</v>
      </c>
      <c r="F26" s="64" t="n">
        <v>47</v>
      </c>
      <c r="G26" s="64" t="n">
        <v>-189.7</v>
      </c>
      <c r="H26" s="64" t="n">
        <v>-139.7</v>
      </c>
      <c r="I26" s="64" t="n">
        <v>-105.2</v>
      </c>
      <c r="J26" s="64" t="n">
        <v>-62.9</v>
      </c>
      <c r="K26" s="64" t="n">
        <v>-43.5</v>
      </c>
      <c r="L26" s="64" t="n">
        <v>-28.6</v>
      </c>
      <c r="M26" s="64" t="n">
        <v>-13.7</v>
      </c>
      <c r="N26" s="64" t="n">
        <v>-2.2</v>
      </c>
      <c r="O26" s="64" t="n">
        <v>8.8</v>
      </c>
      <c r="P26" s="64" t="n">
        <v>17.3</v>
      </c>
      <c r="Q26" s="64" t="n">
        <v>1.3</v>
      </c>
      <c r="R26" s="64" t="n">
        <v>10</v>
      </c>
      <c r="S26" s="64" t="n">
        <v>17.1</v>
      </c>
      <c r="T26" s="65"/>
    </row>
    <row r="28" customFormat="false" ht="19.5" hidden="false" customHeight="true" outlineLevel="0" collapsed="false">
      <c r="A28" s="66" t="s">
        <v>193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customFormat="false" ht="15" hidden="false" customHeight="true" outlineLevel="0" collapsed="false">
      <c r="A29" s="52" t="s">
        <v>194</v>
      </c>
      <c r="B29" s="67" t="n">
        <v>0</v>
      </c>
      <c r="C29" s="67" t="n">
        <v>0</v>
      </c>
      <c r="D29" s="67" t="n">
        <v>75</v>
      </c>
      <c r="E29" s="67" t="n">
        <v>175</v>
      </c>
      <c r="F29" s="67" t="n">
        <v>224</v>
      </c>
      <c r="G29" s="67" t="n">
        <v>223</v>
      </c>
      <c r="H29" s="67" t="n">
        <v>222</v>
      </c>
      <c r="I29" s="67" t="n">
        <v>221</v>
      </c>
      <c r="J29" s="67" t="n">
        <v>220</v>
      </c>
      <c r="K29" s="67" t="n">
        <v>220</v>
      </c>
      <c r="L29" s="67" t="n">
        <v>219</v>
      </c>
      <c r="M29" s="67" t="n">
        <v>218</v>
      </c>
      <c r="N29" s="67" t="n">
        <v>217</v>
      </c>
      <c r="O29" s="67" t="n">
        <v>216</v>
      </c>
      <c r="P29" s="67" t="n">
        <v>215</v>
      </c>
      <c r="Q29" s="67" t="n">
        <v>214</v>
      </c>
      <c r="R29" s="67" t="n">
        <v>213</v>
      </c>
      <c r="S29" s="67" t="n">
        <v>213</v>
      </c>
      <c r="T29" s="68"/>
    </row>
    <row r="30" customFormat="false" ht="15" hidden="false" customHeight="true" outlineLevel="0" collapsed="false">
      <c r="A30" s="52" t="s">
        <v>195</v>
      </c>
      <c r="B30" s="67" t="n">
        <v>0</v>
      </c>
      <c r="C30" s="67" t="n">
        <v>0</v>
      </c>
      <c r="D30" s="67" t="n">
        <v>50</v>
      </c>
      <c r="E30" s="67" t="n">
        <v>150</v>
      </c>
      <c r="F30" s="67" t="n">
        <v>212</v>
      </c>
      <c r="G30" s="67" t="n">
        <v>211</v>
      </c>
      <c r="H30" s="67" t="n">
        <v>211</v>
      </c>
      <c r="I30" s="67" t="n">
        <v>210</v>
      </c>
      <c r="J30" s="67" t="n">
        <v>209</v>
      </c>
      <c r="K30" s="67" t="n">
        <v>208</v>
      </c>
      <c r="L30" s="67" t="n">
        <v>207</v>
      </c>
      <c r="M30" s="67" t="n">
        <v>206</v>
      </c>
      <c r="N30" s="67" t="n">
        <v>206</v>
      </c>
      <c r="O30" s="67" t="n">
        <v>205</v>
      </c>
      <c r="P30" s="67" t="n">
        <v>204</v>
      </c>
      <c r="Q30" s="67" t="n">
        <v>203</v>
      </c>
      <c r="R30" s="67" t="n">
        <v>202</v>
      </c>
      <c r="S30" s="67" t="n">
        <v>201</v>
      </c>
      <c r="T30" s="68"/>
    </row>
    <row r="31" customFormat="false" ht="15" hidden="false" customHeight="true" outlineLevel="0" collapsed="false">
      <c r="A31" s="52" t="s">
        <v>196</v>
      </c>
      <c r="B31" s="67" t="n">
        <v>0</v>
      </c>
      <c r="C31" s="67" t="n">
        <v>0</v>
      </c>
      <c r="D31" s="67" t="n">
        <v>50</v>
      </c>
      <c r="E31" s="67" t="n">
        <v>130</v>
      </c>
      <c r="F31" s="67" t="n">
        <v>199</v>
      </c>
      <c r="G31" s="67" t="n">
        <v>197</v>
      </c>
      <c r="H31" s="67" t="n">
        <v>195</v>
      </c>
      <c r="I31" s="67" t="n">
        <v>194</v>
      </c>
      <c r="J31" s="67" t="n">
        <v>192</v>
      </c>
      <c r="K31" s="67" t="n">
        <v>191</v>
      </c>
      <c r="L31" s="67" t="n">
        <v>189</v>
      </c>
      <c r="M31" s="67" t="n">
        <v>188</v>
      </c>
      <c r="N31" s="67" t="n">
        <v>186</v>
      </c>
      <c r="O31" s="67" t="n">
        <v>185</v>
      </c>
      <c r="P31" s="67" t="n">
        <v>183</v>
      </c>
      <c r="Q31" s="67" t="n">
        <v>182</v>
      </c>
      <c r="R31" s="67" t="n">
        <v>180</v>
      </c>
      <c r="S31" s="67" t="n">
        <v>179</v>
      </c>
      <c r="T31" s="68"/>
    </row>
    <row r="32" customFormat="false" ht="15" hidden="false" customHeight="true" outlineLevel="0" collapsed="false">
      <c r="A32" s="52" t="s">
        <v>197</v>
      </c>
      <c r="B32" s="67" t="n">
        <v>0</v>
      </c>
      <c r="C32" s="67" t="n">
        <v>0</v>
      </c>
      <c r="D32" s="67" t="n">
        <v>0</v>
      </c>
      <c r="E32" s="67" t="n">
        <v>0</v>
      </c>
      <c r="F32" s="67" t="n">
        <v>50</v>
      </c>
      <c r="G32" s="67" t="n">
        <v>149</v>
      </c>
      <c r="H32" s="67" t="n">
        <v>248</v>
      </c>
      <c r="I32" s="67" t="n">
        <v>345</v>
      </c>
      <c r="J32" s="67" t="n">
        <v>341</v>
      </c>
      <c r="K32" s="67" t="n">
        <v>336</v>
      </c>
      <c r="L32" s="67" t="n">
        <v>332</v>
      </c>
      <c r="M32" s="67" t="n">
        <v>328</v>
      </c>
      <c r="N32" s="67" t="n">
        <v>324</v>
      </c>
      <c r="O32" s="67" t="n">
        <v>321</v>
      </c>
      <c r="P32" s="67" t="n">
        <v>317</v>
      </c>
      <c r="Q32" s="67" t="n">
        <v>313</v>
      </c>
      <c r="R32" s="67" t="n">
        <v>309</v>
      </c>
      <c r="S32" s="67" t="n">
        <v>305</v>
      </c>
      <c r="T32" s="68"/>
    </row>
    <row r="33" customFormat="false" ht="15" hidden="false" customHeight="true" outlineLevel="0" collapsed="false">
      <c r="A33" s="52" t="s">
        <v>198</v>
      </c>
      <c r="B33" s="67" t="n">
        <v>0</v>
      </c>
      <c r="C33" s="67" t="n">
        <v>0</v>
      </c>
      <c r="D33" s="67" t="n">
        <v>0</v>
      </c>
      <c r="E33" s="67" t="n">
        <v>0</v>
      </c>
      <c r="F33" s="67" t="n">
        <v>0</v>
      </c>
      <c r="G33" s="67" t="n">
        <v>0</v>
      </c>
      <c r="H33" s="67" t="n">
        <v>0</v>
      </c>
      <c r="I33" s="67" t="n">
        <v>0</v>
      </c>
      <c r="J33" s="67" t="n">
        <v>75</v>
      </c>
      <c r="K33" s="67" t="n">
        <v>174</v>
      </c>
      <c r="L33" s="67" t="n">
        <v>271</v>
      </c>
      <c r="M33" s="67" t="n">
        <v>392</v>
      </c>
      <c r="N33" s="67" t="n">
        <v>511</v>
      </c>
      <c r="O33" s="67" t="n">
        <v>654</v>
      </c>
      <c r="P33" s="67" t="n">
        <v>794</v>
      </c>
      <c r="Q33" s="67" t="n">
        <v>957</v>
      </c>
      <c r="R33" s="67" t="n">
        <v>1118</v>
      </c>
      <c r="S33" s="67" t="n">
        <v>1276</v>
      </c>
      <c r="T33" s="68"/>
    </row>
    <row r="34" customFormat="false" ht="15" hidden="false" customHeight="true" outlineLevel="0" collapsed="false">
      <c r="A34" s="62" t="s">
        <v>199</v>
      </c>
      <c r="B34" s="69" t="n">
        <v>0</v>
      </c>
      <c r="C34" s="69" t="n">
        <v>0</v>
      </c>
      <c r="D34" s="69" t="n">
        <v>175</v>
      </c>
      <c r="E34" s="69" t="n">
        <v>455</v>
      </c>
      <c r="F34" s="69" t="n">
        <v>685</v>
      </c>
      <c r="G34" s="69" t="n">
        <v>780</v>
      </c>
      <c r="H34" s="69" t="n">
        <v>876</v>
      </c>
      <c r="I34" s="69" t="n">
        <v>970</v>
      </c>
      <c r="J34" s="69" t="n">
        <v>1037</v>
      </c>
      <c r="K34" s="69" t="n">
        <v>1129</v>
      </c>
      <c r="L34" s="69" t="n">
        <v>1218</v>
      </c>
      <c r="M34" s="69" t="n">
        <v>1332</v>
      </c>
      <c r="N34" s="69" t="n">
        <v>1444</v>
      </c>
      <c r="O34" s="69" t="n">
        <v>1581</v>
      </c>
      <c r="P34" s="69" t="n">
        <v>1713</v>
      </c>
      <c r="Q34" s="69" t="n">
        <v>1869</v>
      </c>
      <c r="R34" s="69" t="n">
        <v>2022</v>
      </c>
      <c r="S34" s="69" t="n">
        <v>2174</v>
      </c>
      <c r="T34" s="36"/>
    </row>
  </sheetData>
  <mergeCells count="6">
    <mergeCell ref="A1:T1"/>
    <mergeCell ref="A3:T3"/>
    <mergeCell ref="A4:T4"/>
    <mergeCell ref="A13:T13"/>
    <mergeCell ref="A24:T24"/>
    <mergeCell ref="A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6"/>
    <col collapsed="false" customWidth="true" hidden="false" outlineLevel="0" max="6" min="6" style="1" width="20"/>
  </cols>
  <sheetData>
    <row r="1" customFormat="false" ht="27.75" hidden="false" customHeight="true" outlineLevel="0" collapsed="false">
      <c r="A1" s="2" t="s">
        <v>200</v>
      </c>
      <c r="B1" s="2"/>
      <c r="C1" s="2"/>
      <c r="D1" s="2"/>
      <c r="E1" s="2"/>
      <c r="F1" s="2"/>
    </row>
    <row r="2" customFormat="false" ht="6" hidden="false" customHeight="true" outlineLevel="0" collapsed="false"/>
    <row r="3" customFormat="false" ht="19.5" hidden="false" customHeight="true" outlineLevel="0" collapsed="false">
      <c r="A3" s="4" t="s">
        <v>201</v>
      </c>
      <c r="B3" s="4"/>
      <c r="C3" s="4"/>
      <c r="D3" s="4"/>
      <c r="E3" s="4"/>
      <c r="F3" s="4"/>
    </row>
    <row r="4" customFormat="false" ht="27.75" hidden="false" customHeight="true" outlineLevel="0" collapsed="false">
      <c r="A4" s="70" t="s">
        <v>202</v>
      </c>
      <c r="B4" s="70" t="s">
        <v>203</v>
      </c>
      <c r="C4" s="70" t="s">
        <v>204</v>
      </c>
      <c r="D4" s="70" t="s">
        <v>205</v>
      </c>
      <c r="E4" s="70" t="s">
        <v>206</v>
      </c>
      <c r="F4" s="70" t="s">
        <v>6</v>
      </c>
    </row>
    <row r="5" customFormat="false" ht="21.75" hidden="false" customHeight="true" outlineLevel="0" collapsed="false">
      <c r="A5" s="12" t="s">
        <v>207</v>
      </c>
      <c r="B5" s="71" t="n">
        <v>35</v>
      </c>
      <c r="C5" s="71" t="n">
        <v>31</v>
      </c>
      <c r="D5" s="72" t="n">
        <v>25</v>
      </c>
      <c r="E5" s="71" t="n">
        <v>5</v>
      </c>
      <c r="F5" s="73" t="s">
        <v>208</v>
      </c>
    </row>
    <row r="6" customFormat="false" ht="21.75" hidden="false" customHeight="true" outlineLevel="0" collapsed="false">
      <c r="A6" s="74" t="s">
        <v>209</v>
      </c>
      <c r="B6" s="75" t="n">
        <v>74</v>
      </c>
      <c r="C6" s="75" t="n">
        <v>65</v>
      </c>
      <c r="D6" s="76" t="n">
        <v>52</v>
      </c>
      <c r="E6" s="75" t="n">
        <v>10</v>
      </c>
      <c r="F6" s="77" t="s">
        <v>210</v>
      </c>
    </row>
    <row r="7" customFormat="false" ht="21.75" hidden="false" customHeight="true" outlineLevel="0" collapsed="false">
      <c r="A7" s="12" t="s">
        <v>211</v>
      </c>
      <c r="B7" s="71" t="n">
        <v>207</v>
      </c>
      <c r="C7" s="71" t="n">
        <v>181</v>
      </c>
      <c r="D7" s="72" t="n">
        <v>145</v>
      </c>
      <c r="E7" s="71" t="n">
        <v>29</v>
      </c>
      <c r="F7" s="73" t="s">
        <v>212</v>
      </c>
    </row>
    <row r="8" customFormat="false" ht="21.75" hidden="false" customHeight="true" outlineLevel="0" collapsed="false">
      <c r="A8" s="74" t="s">
        <v>213</v>
      </c>
      <c r="B8" s="75" t="n">
        <v>245</v>
      </c>
      <c r="C8" s="75" t="n">
        <v>215</v>
      </c>
      <c r="D8" s="76" t="n">
        <v>172</v>
      </c>
      <c r="E8" s="75" t="n">
        <v>34</v>
      </c>
      <c r="F8" s="77" t="s">
        <v>214</v>
      </c>
    </row>
    <row r="9" customFormat="false" ht="21.75" hidden="false" customHeight="true" outlineLevel="0" collapsed="false">
      <c r="A9" s="12" t="s">
        <v>215</v>
      </c>
      <c r="B9" s="71" t="n">
        <v>760</v>
      </c>
      <c r="C9" s="71" t="n">
        <v>665</v>
      </c>
      <c r="D9" s="72" t="n">
        <v>532</v>
      </c>
      <c r="E9" s="71" t="n">
        <v>106</v>
      </c>
      <c r="F9" s="73" t="s">
        <v>216</v>
      </c>
    </row>
    <row r="10" customFormat="false" ht="21.75" hidden="false" customHeight="true" outlineLevel="0" collapsed="false">
      <c r="A10" s="74" t="s">
        <v>217</v>
      </c>
      <c r="B10" s="75" t="n">
        <v>1939</v>
      </c>
      <c r="C10" s="75" t="n">
        <v>1696</v>
      </c>
      <c r="D10" s="76" t="n">
        <v>1357</v>
      </c>
      <c r="E10" s="75" t="s">
        <v>218</v>
      </c>
      <c r="F10" s="77" t="s">
        <v>219</v>
      </c>
    </row>
    <row r="12" customFormat="false" ht="19.5" hidden="false" customHeight="true" outlineLevel="0" collapsed="false">
      <c r="A12" s="4" t="s">
        <v>220</v>
      </c>
      <c r="B12" s="4"/>
      <c r="C12" s="4"/>
      <c r="D12" s="4"/>
      <c r="E12" s="4"/>
      <c r="F12" s="4"/>
    </row>
    <row r="13" customFormat="false" ht="27.75" hidden="false" customHeight="true" outlineLevel="0" collapsed="false">
      <c r="A13" s="70" t="s">
        <v>221</v>
      </c>
      <c r="B13" s="70" t="s">
        <v>222</v>
      </c>
      <c r="C13" s="70" t="s">
        <v>223</v>
      </c>
      <c r="D13" s="70" t="s">
        <v>224</v>
      </c>
      <c r="E13" s="70" t="s">
        <v>225</v>
      </c>
      <c r="F13" s="70" t="s">
        <v>6</v>
      </c>
    </row>
    <row r="14" customFormat="false" ht="18" hidden="false" customHeight="true" outlineLevel="0" collapsed="false">
      <c r="A14" s="12" t="s">
        <v>226</v>
      </c>
      <c r="B14" s="78" t="s">
        <v>227</v>
      </c>
      <c r="C14" s="78" t="s">
        <v>228</v>
      </c>
      <c r="D14" s="78" t="s">
        <v>229</v>
      </c>
      <c r="E14" s="78" t="s">
        <v>230</v>
      </c>
      <c r="F14" s="79"/>
    </row>
    <row r="15" customFormat="false" ht="18" hidden="false" customHeight="true" outlineLevel="0" collapsed="false">
      <c r="A15" s="74" t="s">
        <v>231</v>
      </c>
      <c r="B15" s="80" t="s">
        <v>232</v>
      </c>
      <c r="C15" s="80" t="s">
        <v>228</v>
      </c>
      <c r="D15" s="80" t="s">
        <v>229</v>
      </c>
      <c r="E15" s="80" t="s">
        <v>230</v>
      </c>
      <c r="F15" s="81" t="s">
        <v>233</v>
      </c>
    </row>
    <row r="16" customFormat="false" ht="18" hidden="false" customHeight="true" outlineLevel="0" collapsed="false">
      <c r="A16" s="12" t="s">
        <v>234</v>
      </c>
      <c r="B16" s="78" t="s">
        <v>235</v>
      </c>
      <c r="C16" s="78" t="s">
        <v>236</v>
      </c>
      <c r="D16" s="78" t="s">
        <v>237</v>
      </c>
      <c r="E16" s="78" t="s">
        <v>238</v>
      </c>
      <c r="F16" s="79" t="s">
        <v>239</v>
      </c>
    </row>
    <row r="17" customFormat="false" ht="18" hidden="false" customHeight="true" outlineLevel="0" collapsed="false">
      <c r="A17" s="74" t="s">
        <v>240</v>
      </c>
      <c r="B17" s="80" t="s">
        <v>241</v>
      </c>
      <c r="C17" s="80" t="s">
        <v>241</v>
      </c>
      <c r="D17" s="80" t="s">
        <v>241</v>
      </c>
      <c r="E17" s="80" t="s">
        <v>241</v>
      </c>
      <c r="F17" s="81" t="s">
        <v>242</v>
      </c>
    </row>
    <row r="18" customFormat="false" ht="18" hidden="false" customHeight="true" outlineLevel="0" collapsed="false">
      <c r="A18" s="12" t="s">
        <v>243</v>
      </c>
      <c r="B18" s="78" t="s">
        <v>244</v>
      </c>
      <c r="C18" s="78" t="s">
        <v>244</v>
      </c>
      <c r="D18" s="78" t="s">
        <v>244</v>
      </c>
      <c r="E18" s="78" t="s">
        <v>244</v>
      </c>
      <c r="F18" s="79" t="s">
        <v>245</v>
      </c>
    </row>
    <row r="19" customFormat="false" ht="18" hidden="false" customHeight="true" outlineLevel="0" collapsed="false">
      <c r="A19" s="74" t="s">
        <v>246</v>
      </c>
      <c r="B19" s="80" t="s">
        <v>247</v>
      </c>
      <c r="C19" s="80" t="s">
        <v>248</v>
      </c>
      <c r="D19" s="80" t="s">
        <v>249</v>
      </c>
      <c r="E19" s="80" t="s">
        <v>250</v>
      </c>
      <c r="F19" s="81" t="s">
        <v>251</v>
      </c>
    </row>
    <row r="20" customFormat="false" ht="18" hidden="false" customHeight="true" outlineLevel="0" collapsed="false">
      <c r="A20" s="12" t="s">
        <v>252</v>
      </c>
      <c r="B20" s="78" t="s">
        <v>253</v>
      </c>
      <c r="C20" s="78" t="s">
        <v>254</v>
      </c>
      <c r="D20" s="78" t="s">
        <v>255</v>
      </c>
      <c r="E20" s="78" t="s">
        <v>256</v>
      </c>
      <c r="F20" s="79"/>
    </row>
    <row r="21" customFormat="false" ht="18" hidden="false" customHeight="true" outlineLevel="0" collapsed="false">
      <c r="A21" s="74" t="s">
        <v>257</v>
      </c>
      <c r="B21" s="80" t="s">
        <v>258</v>
      </c>
      <c r="C21" s="80" t="s">
        <v>259</v>
      </c>
      <c r="D21" s="80" t="s">
        <v>259</v>
      </c>
      <c r="E21" s="80" t="s">
        <v>260</v>
      </c>
      <c r="F21" s="81" t="s">
        <v>261</v>
      </c>
    </row>
    <row r="22" customFormat="false" ht="18" hidden="false" customHeight="true" outlineLevel="0" collapsed="false">
      <c r="A22" s="12" t="s">
        <v>262</v>
      </c>
      <c r="B22" s="78" t="s">
        <v>263</v>
      </c>
      <c r="C22" s="78" t="s">
        <v>263</v>
      </c>
      <c r="D22" s="78" t="s">
        <v>264</v>
      </c>
      <c r="E22" s="78" t="s">
        <v>265</v>
      </c>
      <c r="F22" s="79" t="s">
        <v>266</v>
      </c>
    </row>
    <row r="23" customFormat="false" ht="18" hidden="false" customHeight="true" outlineLevel="0" collapsed="false">
      <c r="A23" s="74" t="s">
        <v>267</v>
      </c>
      <c r="B23" s="80" t="s">
        <v>268</v>
      </c>
      <c r="C23" s="80" t="s">
        <v>268</v>
      </c>
      <c r="D23" s="80" t="s">
        <v>269</v>
      </c>
      <c r="E23" s="80" t="s">
        <v>270</v>
      </c>
      <c r="F23" s="81" t="s">
        <v>271</v>
      </c>
    </row>
    <row r="25" customFormat="false" ht="19.5" hidden="false" customHeight="true" outlineLevel="0" collapsed="false">
      <c r="A25" s="4" t="s">
        <v>272</v>
      </c>
      <c r="B25" s="4"/>
      <c r="C25" s="4"/>
      <c r="D25" s="4"/>
      <c r="E25" s="4"/>
      <c r="F25" s="4"/>
    </row>
    <row r="26" customFormat="false" ht="21.75" hidden="false" customHeight="true" outlineLevel="0" collapsed="false">
      <c r="A26" s="70" t="s">
        <v>273</v>
      </c>
      <c r="B26" s="70" t="s">
        <v>274</v>
      </c>
      <c r="C26" s="70" t="s">
        <v>275</v>
      </c>
      <c r="D26" s="70" t="s">
        <v>276</v>
      </c>
      <c r="E26" s="70" t="s">
        <v>277</v>
      </c>
      <c r="F26" s="70" t="s">
        <v>6</v>
      </c>
    </row>
    <row r="27" customFormat="false" ht="18" hidden="false" customHeight="true" outlineLevel="0" collapsed="false">
      <c r="A27" s="82" t="s">
        <v>278</v>
      </c>
      <c r="B27" s="83" t="n">
        <v>56250</v>
      </c>
      <c r="C27" s="83" t="n">
        <v>0</v>
      </c>
      <c r="D27" s="83" t="n">
        <v>0</v>
      </c>
      <c r="E27" s="84" t="n">
        <f aca="false">B27+C27+D27</f>
        <v>56250</v>
      </c>
      <c r="F27" s="73" t="s">
        <v>279</v>
      </c>
    </row>
    <row r="28" customFormat="false" ht="18" hidden="false" customHeight="true" outlineLevel="0" collapsed="false">
      <c r="A28" s="85" t="s">
        <v>280</v>
      </c>
      <c r="B28" s="86" t="n">
        <v>5310</v>
      </c>
      <c r="C28" s="86" t="n">
        <v>4779</v>
      </c>
      <c r="D28" s="86" t="n">
        <v>4301</v>
      </c>
      <c r="E28" s="87" t="n">
        <f aca="false">B28+C28+D28</f>
        <v>14390</v>
      </c>
      <c r="F28" s="77" t="s">
        <v>281</v>
      </c>
    </row>
    <row r="29" customFormat="false" ht="18" hidden="false" customHeight="true" outlineLevel="0" collapsed="false">
      <c r="A29" s="82" t="s">
        <v>224</v>
      </c>
      <c r="B29" s="83" t="n">
        <v>6998</v>
      </c>
      <c r="C29" s="83" t="n">
        <v>6298</v>
      </c>
      <c r="D29" s="83" t="n">
        <v>5668</v>
      </c>
      <c r="E29" s="84" t="n">
        <f aca="false">B29+C29+D29</f>
        <v>18964</v>
      </c>
      <c r="F29" s="73" t="s">
        <v>282</v>
      </c>
    </row>
    <row r="30" customFormat="false" ht="18" hidden="false" customHeight="true" outlineLevel="0" collapsed="false">
      <c r="A30" s="85" t="s">
        <v>283</v>
      </c>
      <c r="B30" s="86" t="n">
        <v>11997</v>
      </c>
      <c r="C30" s="86" t="n">
        <v>17245</v>
      </c>
      <c r="D30" s="86" t="n">
        <v>15801</v>
      </c>
      <c r="E30" s="87" t="n">
        <f aca="false">B30+C30+D30</f>
        <v>45043</v>
      </c>
      <c r="F30" s="77" t="s">
        <v>284</v>
      </c>
    </row>
    <row r="31" customFormat="false" ht="18" hidden="false" customHeight="true" outlineLevel="0" collapsed="false">
      <c r="A31" s="82" t="s">
        <v>285</v>
      </c>
      <c r="B31" s="83" t="n">
        <v>5249</v>
      </c>
      <c r="C31" s="83" t="n">
        <v>56125</v>
      </c>
      <c r="D31" s="83" t="n">
        <v>104850</v>
      </c>
      <c r="E31" s="84" t="n">
        <f aca="false">B31+C31+D31</f>
        <v>166224</v>
      </c>
      <c r="F31" s="73" t="s">
        <v>286</v>
      </c>
    </row>
    <row r="32" customFormat="false" ht="18" hidden="false" customHeight="true" outlineLevel="0" collapsed="false">
      <c r="A32" s="85" t="s">
        <v>287</v>
      </c>
      <c r="B32" s="86" t="n">
        <v>0</v>
      </c>
      <c r="C32" s="86" t="n">
        <v>5249</v>
      </c>
      <c r="D32" s="86" t="n">
        <v>7498</v>
      </c>
      <c r="E32" s="87" t="n">
        <f aca="false">B32+C32+D32</f>
        <v>12747</v>
      </c>
      <c r="F32" s="77" t="s">
        <v>288</v>
      </c>
    </row>
    <row r="33" customFormat="false" ht="24" hidden="false" customHeight="true" outlineLevel="0" collapsed="false">
      <c r="A33" s="88" t="s">
        <v>289</v>
      </c>
      <c r="B33" s="89" t="n">
        <f aca="false">SUM(B27:B32)</f>
        <v>85804</v>
      </c>
      <c r="C33" s="89" t="n">
        <f aca="false">SUM(C27:C32)</f>
        <v>89696</v>
      </c>
      <c r="D33" s="89" t="n">
        <f aca="false">SUM(D27:D32)</f>
        <v>138118</v>
      </c>
      <c r="E33" s="89" t="n">
        <f aca="false">SUM(E27:E32)</f>
        <v>313618</v>
      </c>
      <c r="F33" s="35"/>
    </row>
    <row r="35" customFormat="false" ht="19.5" hidden="false" customHeight="true" outlineLevel="0" collapsed="false">
      <c r="A35" s="4" t="s">
        <v>290</v>
      </c>
      <c r="B35" s="4"/>
      <c r="C35" s="4"/>
      <c r="D35" s="4"/>
      <c r="E35" s="4"/>
      <c r="F35" s="4"/>
    </row>
    <row r="36" customFormat="false" ht="18" hidden="false" customHeight="true" outlineLevel="0" collapsed="false">
      <c r="A36" s="82" t="s">
        <v>291</v>
      </c>
      <c r="B36" s="83" t="n">
        <v>1239</v>
      </c>
      <c r="C36" s="83" t="n">
        <v>1239</v>
      </c>
      <c r="D36" s="83" t="n">
        <v>1239</v>
      </c>
      <c r="E36" s="84" t="n">
        <f aca="false">B36+C36+D36</f>
        <v>3717</v>
      </c>
      <c r="F36" s="73" t="s">
        <v>292</v>
      </c>
    </row>
    <row r="37" customFormat="false" ht="18" hidden="false" customHeight="true" outlineLevel="0" collapsed="false">
      <c r="A37" s="85" t="s">
        <v>293</v>
      </c>
      <c r="B37" s="86" t="n">
        <v>6000</v>
      </c>
      <c r="C37" s="86" t="n">
        <v>0</v>
      </c>
      <c r="D37" s="86" t="n">
        <v>0</v>
      </c>
      <c r="E37" s="87" t="n">
        <f aca="false">B37+C37+D37</f>
        <v>6000</v>
      </c>
      <c r="F37" s="77" t="s">
        <v>294</v>
      </c>
    </row>
    <row r="38" customFormat="false" ht="18" hidden="false" customHeight="true" outlineLevel="0" collapsed="false">
      <c r="A38" s="82" t="s">
        <v>295</v>
      </c>
      <c r="B38" s="83" t="n">
        <v>1350</v>
      </c>
      <c r="C38" s="83" t="n">
        <v>5400</v>
      </c>
      <c r="D38" s="83" t="n">
        <v>5400</v>
      </c>
      <c r="E38" s="84" t="n">
        <f aca="false">B38+C38+D38</f>
        <v>12150</v>
      </c>
      <c r="F38" s="73" t="s">
        <v>296</v>
      </c>
    </row>
    <row r="39" customFormat="false" ht="18" hidden="false" customHeight="true" outlineLevel="0" collapsed="false">
      <c r="A39" s="85" t="s">
        <v>297</v>
      </c>
      <c r="B39" s="86" t="n">
        <v>48600</v>
      </c>
      <c r="C39" s="86" t="n">
        <v>48600</v>
      </c>
      <c r="D39" s="86" t="n">
        <v>48600</v>
      </c>
      <c r="E39" s="87" t="n">
        <f aca="false">B39+C39+D39</f>
        <v>145800</v>
      </c>
      <c r="F39" s="77" t="s">
        <v>298</v>
      </c>
    </row>
    <row r="40" customFormat="false" ht="18" hidden="false" customHeight="true" outlineLevel="0" collapsed="false">
      <c r="A40" s="82" t="s">
        <v>299</v>
      </c>
      <c r="B40" s="83" t="n">
        <v>900</v>
      </c>
      <c r="C40" s="83" t="n">
        <v>900</v>
      </c>
      <c r="D40" s="83" t="n">
        <v>900</v>
      </c>
      <c r="E40" s="84" t="n">
        <f aca="false">B40+C40+D40</f>
        <v>2700</v>
      </c>
      <c r="F40" s="73" t="s">
        <v>300</v>
      </c>
    </row>
    <row r="41" customFormat="false" ht="18" hidden="false" customHeight="true" outlineLevel="0" collapsed="false">
      <c r="A41" s="85" t="s">
        <v>301</v>
      </c>
      <c r="B41" s="86" t="n">
        <v>3000</v>
      </c>
      <c r="C41" s="86" t="n">
        <v>8500</v>
      </c>
      <c r="D41" s="86" t="n">
        <v>13000</v>
      </c>
      <c r="E41" s="87" t="n">
        <f aca="false">B41+C41+D41</f>
        <v>24500</v>
      </c>
      <c r="F41" s="77" t="s">
        <v>302</v>
      </c>
    </row>
    <row r="42" customFormat="false" ht="18" hidden="false" customHeight="true" outlineLevel="0" collapsed="false">
      <c r="A42" s="82" t="s">
        <v>303</v>
      </c>
      <c r="B42" s="83" t="n">
        <v>500</v>
      </c>
      <c r="C42" s="83" t="n">
        <v>1800</v>
      </c>
      <c r="D42" s="83" t="n">
        <v>3500</v>
      </c>
      <c r="E42" s="84" t="n">
        <f aca="false">B42+C42+D42</f>
        <v>5800</v>
      </c>
      <c r="F42" s="73" t="s">
        <v>304</v>
      </c>
    </row>
    <row r="43" customFormat="false" ht="18" hidden="false" customHeight="true" outlineLevel="0" collapsed="false">
      <c r="A43" s="85" t="s">
        <v>305</v>
      </c>
      <c r="B43" s="86" t="n">
        <v>9000</v>
      </c>
      <c r="C43" s="86" t="n">
        <v>21000</v>
      </c>
      <c r="D43" s="86" t="n">
        <v>30000</v>
      </c>
      <c r="E43" s="87" t="n">
        <f aca="false">B43+C43+D43</f>
        <v>60000</v>
      </c>
      <c r="F43" s="77" t="s">
        <v>306</v>
      </c>
    </row>
    <row r="44" customFormat="false" ht="24" hidden="false" customHeight="true" outlineLevel="0" collapsed="false">
      <c r="A44" s="90" t="s">
        <v>189</v>
      </c>
      <c r="B44" s="91" t="n">
        <f aca="false">SUM(B36:B43)</f>
        <v>70589</v>
      </c>
      <c r="C44" s="91" t="n">
        <f aca="false">SUM(C36:C43)</f>
        <v>87439</v>
      </c>
      <c r="D44" s="91" t="n">
        <f aca="false">SUM(D36:D43)</f>
        <v>102639</v>
      </c>
      <c r="E44" s="91" t="n">
        <f aca="false">SUM(E36:E43)</f>
        <v>260667</v>
      </c>
      <c r="F44" s="92"/>
    </row>
    <row r="45" customFormat="false" ht="24" hidden="false" customHeight="true" outlineLevel="0" collapsed="false">
      <c r="A45" s="88" t="s">
        <v>307</v>
      </c>
      <c r="B45" s="89" t="n">
        <v>27170</v>
      </c>
      <c r="C45" s="89" t="n">
        <v>15586</v>
      </c>
      <c r="D45" s="89" t="n">
        <v>33774</v>
      </c>
      <c r="E45" s="35"/>
      <c r="F45" s="93" t="s">
        <v>308</v>
      </c>
    </row>
  </sheetData>
  <mergeCells count="5">
    <mergeCell ref="A1:F1"/>
    <mergeCell ref="A3:F3"/>
    <mergeCell ref="A12:F12"/>
    <mergeCell ref="A25:F25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6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2" t="s">
        <v>309</v>
      </c>
      <c r="B1" s="2"/>
      <c r="C1" s="2"/>
      <c r="D1" s="2"/>
      <c r="E1" s="2"/>
      <c r="F1" s="2"/>
    </row>
    <row r="2" customFormat="false" ht="6" hidden="false" customHeight="true" outlineLevel="0" collapsed="false"/>
    <row r="3" customFormat="false" ht="19.5" hidden="false" customHeight="true" outlineLevel="0" collapsed="false">
      <c r="A3" s="4" t="s">
        <v>310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70" t="s">
        <v>311</v>
      </c>
      <c r="B4" s="70" t="s">
        <v>312</v>
      </c>
      <c r="C4" s="70" t="s">
        <v>313</v>
      </c>
      <c r="D4" s="70" t="s">
        <v>314</v>
      </c>
      <c r="E4" s="70" t="s">
        <v>315</v>
      </c>
      <c r="F4" s="70" t="s">
        <v>6</v>
      </c>
    </row>
    <row r="5" customFormat="false" ht="19.5" hidden="false" customHeight="true" outlineLevel="0" collapsed="false">
      <c r="A5" s="82" t="s">
        <v>316</v>
      </c>
      <c r="B5" s="83" t="n">
        <v>4000</v>
      </c>
      <c r="C5" s="83" t="n">
        <v>150</v>
      </c>
      <c r="D5" s="94" t="n">
        <v>3850</v>
      </c>
      <c r="E5" s="95" t="n">
        <v>0.9625</v>
      </c>
      <c r="F5" s="73" t="s">
        <v>317</v>
      </c>
    </row>
    <row r="6" customFormat="false" ht="19.5" hidden="false" customHeight="true" outlineLevel="0" collapsed="false">
      <c r="A6" s="85" t="s">
        <v>318</v>
      </c>
      <c r="B6" s="86" t="n">
        <v>0</v>
      </c>
      <c r="C6" s="86" t="n">
        <v>350</v>
      </c>
      <c r="D6" s="96" t="n">
        <v>-350</v>
      </c>
      <c r="E6" s="97" t="n">
        <v>0</v>
      </c>
      <c r="F6" s="77" t="s">
        <v>319</v>
      </c>
    </row>
    <row r="7" customFormat="false" ht="19.5" hidden="false" customHeight="true" outlineLevel="0" collapsed="false">
      <c r="A7" s="82" t="s">
        <v>320</v>
      </c>
      <c r="B7" s="83" t="n">
        <v>300</v>
      </c>
      <c r="C7" s="83" t="n">
        <v>75</v>
      </c>
      <c r="D7" s="94" t="n">
        <v>225</v>
      </c>
      <c r="E7" s="95" t="n">
        <v>0.75</v>
      </c>
      <c r="F7" s="73" t="s">
        <v>321</v>
      </c>
    </row>
    <row r="8" customFormat="false" ht="19.5" hidden="false" customHeight="true" outlineLevel="0" collapsed="false">
      <c r="A8" s="85" t="s">
        <v>322</v>
      </c>
      <c r="B8" s="86" t="n">
        <v>225</v>
      </c>
      <c r="C8" s="86" t="n">
        <v>225</v>
      </c>
      <c r="D8" s="96" t="n">
        <v>0</v>
      </c>
      <c r="E8" s="97" t="n">
        <v>0</v>
      </c>
      <c r="F8" s="77" t="s">
        <v>323</v>
      </c>
    </row>
    <row r="9" customFormat="false" ht="19.5" hidden="false" customHeight="true" outlineLevel="0" collapsed="false">
      <c r="A9" s="82" t="s">
        <v>324</v>
      </c>
      <c r="B9" s="83" t="n">
        <v>150</v>
      </c>
      <c r="C9" s="83" t="n">
        <v>30</v>
      </c>
      <c r="D9" s="94" t="n">
        <v>120</v>
      </c>
      <c r="E9" s="95" t="n">
        <v>0.8</v>
      </c>
      <c r="F9" s="73" t="s">
        <v>325</v>
      </c>
    </row>
    <row r="10" customFormat="false" ht="19.5" hidden="false" customHeight="true" outlineLevel="0" collapsed="false">
      <c r="A10" s="85" t="s">
        <v>326</v>
      </c>
      <c r="B10" s="86" t="n">
        <v>200</v>
      </c>
      <c r="C10" s="86" t="n">
        <v>50</v>
      </c>
      <c r="D10" s="98" t="n">
        <v>150</v>
      </c>
      <c r="E10" s="99" t="n">
        <v>0.75</v>
      </c>
      <c r="F10" s="77" t="s">
        <v>327</v>
      </c>
    </row>
    <row r="11" customFormat="false" ht="24" hidden="false" customHeight="true" outlineLevel="0" collapsed="false">
      <c r="A11" s="88" t="s">
        <v>328</v>
      </c>
      <c r="B11" s="89" t="n">
        <v>4875</v>
      </c>
      <c r="C11" s="89" t="n">
        <v>880</v>
      </c>
      <c r="D11" s="89" t="n">
        <v>3995</v>
      </c>
      <c r="E11" s="100" t="n">
        <v>0.81948717948718</v>
      </c>
      <c r="F11" s="101" t="s">
        <v>329</v>
      </c>
    </row>
    <row r="13" customFormat="false" ht="19.5" hidden="false" customHeight="true" outlineLevel="0" collapsed="false">
      <c r="A13" s="4" t="s">
        <v>330</v>
      </c>
      <c r="B13" s="4"/>
      <c r="C13" s="4"/>
      <c r="D13" s="4"/>
      <c r="E13" s="4"/>
      <c r="F13" s="4"/>
    </row>
    <row r="14" customFormat="false" ht="19.5" hidden="false" customHeight="true" outlineLevel="0" collapsed="false">
      <c r="A14" s="82" t="s">
        <v>331</v>
      </c>
      <c r="B14" s="102" t="n">
        <v>48600</v>
      </c>
      <c r="C14" s="103" t="s">
        <v>332</v>
      </c>
      <c r="D14" s="103"/>
      <c r="E14" s="103"/>
      <c r="F14" s="103"/>
    </row>
    <row r="15" customFormat="false" ht="19.5" hidden="false" customHeight="true" outlineLevel="0" collapsed="false">
      <c r="A15" s="85" t="s">
        <v>333</v>
      </c>
      <c r="B15" s="96" t="n">
        <v>351000</v>
      </c>
      <c r="C15" s="104" t="s">
        <v>334</v>
      </c>
      <c r="D15" s="104"/>
      <c r="E15" s="104"/>
      <c r="F15" s="104"/>
    </row>
    <row r="16" customFormat="false" ht="19.5" hidden="false" customHeight="true" outlineLevel="0" collapsed="false">
      <c r="A16" s="105" t="s">
        <v>335</v>
      </c>
      <c r="B16" s="106" t="n">
        <v>302400</v>
      </c>
      <c r="C16" s="107" t="s">
        <v>336</v>
      </c>
      <c r="D16" s="107"/>
      <c r="E16" s="107"/>
      <c r="F16" s="107"/>
    </row>
    <row r="17" customFormat="false" ht="19.5" hidden="false" customHeight="true" outlineLevel="0" collapsed="false">
      <c r="A17" s="85" t="s">
        <v>337</v>
      </c>
      <c r="B17" s="96" t="n">
        <v>6000</v>
      </c>
      <c r="C17" s="104" t="s">
        <v>338</v>
      </c>
      <c r="D17" s="104"/>
      <c r="E17" s="104"/>
      <c r="F17" s="104"/>
    </row>
    <row r="18" customFormat="false" ht="19.5" hidden="false" customHeight="true" outlineLevel="0" collapsed="false">
      <c r="A18" s="82" t="s">
        <v>339</v>
      </c>
      <c r="B18" s="102" t="n">
        <v>4500</v>
      </c>
      <c r="C18" s="103" t="s">
        <v>340</v>
      </c>
      <c r="D18" s="103"/>
      <c r="E18" s="103"/>
      <c r="F18" s="103"/>
    </row>
    <row r="19" customFormat="false" ht="19.5" hidden="false" customHeight="true" outlineLevel="0" collapsed="false">
      <c r="A19" s="74" t="s">
        <v>341</v>
      </c>
      <c r="B19" s="108" t="n">
        <v>53100</v>
      </c>
      <c r="C19" s="104" t="s">
        <v>342</v>
      </c>
      <c r="D19" s="104"/>
      <c r="E19" s="104"/>
      <c r="F19" s="104"/>
    </row>
  </sheetData>
  <mergeCells count="9">
    <mergeCell ref="A1:F1"/>
    <mergeCell ref="A3:F3"/>
    <mergeCell ref="A13:F13"/>
    <mergeCell ref="C14:F14"/>
    <mergeCell ref="C15:F15"/>
    <mergeCell ref="C16:F16"/>
    <mergeCell ref="C17:F17"/>
    <mergeCell ref="C18:F18"/>
    <mergeCell ref="C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6" min="5" style="1" width="18"/>
    <col collapsed="false" customWidth="true" hidden="false" outlineLevel="0" max="7" min="7" style="1" width="14"/>
    <col collapsed="false" customWidth="true" hidden="false" outlineLevel="0" max="8" min="8" style="1" width="32"/>
  </cols>
  <sheetData>
    <row r="1" customFormat="false" ht="21.75" hidden="false" customHeight="true" outlineLevel="0" collapsed="false">
      <c r="A1" s="109" t="s">
        <v>343</v>
      </c>
      <c r="B1" s="109"/>
      <c r="C1" s="109"/>
      <c r="D1" s="109"/>
      <c r="E1" s="109"/>
      <c r="F1" s="109"/>
      <c r="G1" s="109"/>
      <c r="H1" s="109"/>
    </row>
    <row r="2" customFormat="false" ht="15.75" hidden="false" customHeight="true" outlineLevel="0" collapsed="false">
      <c r="A2" s="110" t="s">
        <v>344</v>
      </c>
      <c r="B2" s="110"/>
      <c r="C2" s="110"/>
      <c r="D2" s="110"/>
      <c r="E2" s="110"/>
      <c r="F2" s="110"/>
      <c r="G2" s="110"/>
      <c r="H2" s="110"/>
    </row>
    <row r="4" customFormat="false" ht="18" hidden="false" customHeight="true" outlineLevel="0" collapsed="false">
      <c r="A4" s="111" t="s">
        <v>345</v>
      </c>
      <c r="B4" s="111"/>
      <c r="C4" s="111"/>
      <c r="D4" s="111"/>
      <c r="E4" s="111"/>
      <c r="F4" s="111"/>
      <c r="G4" s="111"/>
      <c r="H4" s="111"/>
    </row>
    <row r="5" customFormat="false" ht="15.75" hidden="false" customHeight="true" outlineLevel="0" collapsed="false">
      <c r="A5" s="112" t="s">
        <v>3</v>
      </c>
      <c r="B5" s="112" t="s">
        <v>4</v>
      </c>
      <c r="C5" s="112" t="s">
        <v>5</v>
      </c>
      <c r="D5" s="112" t="s">
        <v>346</v>
      </c>
    </row>
    <row r="6" customFormat="false" ht="21.75" hidden="false" customHeight="true" outlineLevel="0" collapsed="false">
      <c r="A6" s="9" t="s">
        <v>347</v>
      </c>
      <c r="B6" s="113" t="n">
        <v>360000</v>
      </c>
      <c r="C6" s="114" t="s">
        <v>348</v>
      </c>
      <c r="D6" s="115" t="s">
        <v>349</v>
      </c>
    </row>
    <row r="7" customFormat="false" ht="23.25" hidden="false" customHeight="true" outlineLevel="0" collapsed="false">
      <c r="A7" s="9" t="s">
        <v>350</v>
      </c>
      <c r="B7" s="113" t="n">
        <v>228000</v>
      </c>
      <c r="C7" s="114" t="s">
        <v>351</v>
      </c>
      <c r="D7" s="115" t="s">
        <v>352</v>
      </c>
    </row>
    <row r="8" customFormat="false" ht="21.75" hidden="false" customHeight="true" outlineLevel="0" collapsed="false">
      <c r="A8" s="9" t="s">
        <v>353</v>
      </c>
      <c r="B8" s="116" t="n">
        <v>17000</v>
      </c>
      <c r="C8" s="114" t="s">
        <v>354</v>
      </c>
      <c r="D8" s="115" t="s">
        <v>355</v>
      </c>
    </row>
    <row r="9" customFormat="false" ht="21.75" hidden="false" customHeight="true" outlineLevel="0" collapsed="false">
      <c r="A9" s="9" t="s">
        <v>356</v>
      </c>
      <c r="B9" s="116" t="n">
        <v>14000</v>
      </c>
      <c r="C9" s="114" t="s">
        <v>357</v>
      </c>
      <c r="D9" s="115" t="s">
        <v>358</v>
      </c>
    </row>
    <row r="10" customFormat="false" ht="15" hidden="false" customHeight="true" outlineLevel="0" collapsed="false">
      <c r="A10" s="9" t="s">
        <v>359</v>
      </c>
      <c r="B10" s="113" t="n">
        <v>680</v>
      </c>
      <c r="C10" s="114" t="s">
        <v>360</v>
      </c>
      <c r="D10" s="115" t="s">
        <v>361</v>
      </c>
    </row>
    <row r="11" customFormat="false" ht="13.5" hidden="false" customHeight="true" outlineLevel="0" collapsed="false">
      <c r="A11" s="9" t="s">
        <v>362</v>
      </c>
      <c r="B11" s="67" t="n">
        <f aca="false">B9/B10</f>
        <v>20.5882352941177</v>
      </c>
      <c r="C11" s="114" t="s">
        <v>363</v>
      </c>
      <c r="D11" s="115" t="s">
        <v>364</v>
      </c>
    </row>
    <row r="13" customFormat="false" ht="18" hidden="false" customHeight="true" outlineLevel="0" collapsed="false">
      <c r="A13" s="111" t="s">
        <v>365</v>
      </c>
      <c r="B13" s="111"/>
      <c r="C13" s="111"/>
      <c r="D13" s="111"/>
      <c r="E13" s="111"/>
      <c r="F13" s="111"/>
      <c r="G13" s="111"/>
      <c r="H13" s="111"/>
    </row>
    <row r="14" customFormat="false" ht="15" hidden="false" customHeight="true" outlineLevel="0" collapsed="false">
      <c r="A14" s="112" t="s">
        <v>3</v>
      </c>
      <c r="B14" s="112" t="s">
        <v>4</v>
      </c>
      <c r="C14" s="112" t="s">
        <v>5</v>
      </c>
      <c r="D14" s="112" t="s">
        <v>346</v>
      </c>
    </row>
    <row r="15" customFormat="false" ht="21.75" hidden="false" customHeight="true" outlineLevel="0" collapsed="false">
      <c r="A15" s="117" t="s">
        <v>366</v>
      </c>
      <c r="B15" s="118"/>
      <c r="C15" s="119"/>
      <c r="D15" s="115" t="s">
        <v>367</v>
      </c>
    </row>
    <row r="16" customFormat="false" ht="21.75" hidden="false" customHeight="true" outlineLevel="0" collapsed="false">
      <c r="A16" s="120" t="s">
        <v>368</v>
      </c>
      <c r="B16" s="116" t="n">
        <v>150</v>
      </c>
      <c r="C16" s="119" t="s">
        <v>369</v>
      </c>
      <c r="D16" s="115" t="s">
        <v>370</v>
      </c>
    </row>
    <row r="17" customFormat="false" ht="21.75" hidden="false" customHeight="true" outlineLevel="0" collapsed="false">
      <c r="A17" s="121" t="s">
        <v>371</v>
      </c>
      <c r="B17" s="122" t="n">
        <v>0.7</v>
      </c>
      <c r="C17" s="119" t="s">
        <v>50</v>
      </c>
      <c r="D17" s="115" t="s">
        <v>372</v>
      </c>
    </row>
    <row r="18" customFormat="false" ht="15" hidden="false" customHeight="true" outlineLevel="0" collapsed="false">
      <c r="A18" s="9" t="s">
        <v>373</v>
      </c>
      <c r="B18" s="123" t="n">
        <f aca="false">B16*B17</f>
        <v>105</v>
      </c>
      <c r="C18" s="119" t="s">
        <v>374</v>
      </c>
      <c r="D18" s="115" t="s">
        <v>375</v>
      </c>
    </row>
    <row r="19" customFormat="false" ht="21.75" hidden="false" customHeight="true" outlineLevel="0" collapsed="false">
      <c r="A19" s="117" t="s">
        <v>376</v>
      </c>
      <c r="B19" s="118"/>
      <c r="C19" s="119"/>
      <c r="D19" s="115" t="s">
        <v>377</v>
      </c>
    </row>
    <row r="20" customFormat="false" ht="21.75" hidden="false" customHeight="true" outlineLevel="0" collapsed="false">
      <c r="A20" s="121" t="s">
        <v>378</v>
      </c>
      <c r="B20" s="122" t="n">
        <v>0.5</v>
      </c>
      <c r="C20" s="119" t="s">
        <v>50</v>
      </c>
      <c r="D20" s="115" t="s">
        <v>379</v>
      </c>
    </row>
    <row r="21" customFormat="false" ht="23.25" hidden="false" customHeight="true" outlineLevel="0" collapsed="false">
      <c r="A21" s="120" t="s">
        <v>380</v>
      </c>
      <c r="B21" s="116" t="n">
        <v>30</v>
      </c>
      <c r="C21" s="119" t="s">
        <v>39</v>
      </c>
      <c r="D21" s="115" t="s">
        <v>381</v>
      </c>
    </row>
    <row r="22" customFormat="false" ht="15" hidden="false" customHeight="true" outlineLevel="0" collapsed="false">
      <c r="A22" s="9" t="s">
        <v>382</v>
      </c>
      <c r="B22" s="123" t="n">
        <f aca="false">B18*B20+B21</f>
        <v>82.5</v>
      </c>
      <c r="C22" s="119" t="s">
        <v>39</v>
      </c>
      <c r="D22" s="115" t="s">
        <v>383</v>
      </c>
    </row>
    <row r="23" customFormat="false" ht="21.75" hidden="false" customHeight="true" outlineLevel="0" collapsed="false">
      <c r="A23" s="117" t="s">
        <v>384</v>
      </c>
      <c r="B23" s="118"/>
      <c r="C23" s="119"/>
      <c r="D23" s="115" t="s">
        <v>385</v>
      </c>
    </row>
    <row r="24" customFormat="false" ht="21.75" hidden="false" customHeight="true" outlineLevel="0" collapsed="false">
      <c r="A24" s="120" t="s">
        <v>386</v>
      </c>
      <c r="B24" s="124" t="n">
        <v>0.28</v>
      </c>
      <c r="C24" s="119" t="s">
        <v>50</v>
      </c>
      <c r="D24" s="115" t="s">
        <v>387</v>
      </c>
    </row>
    <row r="25" customFormat="false" ht="15" hidden="false" customHeight="true" outlineLevel="0" collapsed="false">
      <c r="A25" s="9" t="s">
        <v>388</v>
      </c>
      <c r="B25" s="125" t="n">
        <f aca="false">Assumptions!B12</f>
        <v>49.99</v>
      </c>
      <c r="C25" s="119" t="s">
        <v>14</v>
      </c>
      <c r="D25" s="115" t="s">
        <v>389</v>
      </c>
    </row>
    <row r="26" customFormat="false" ht="15" hidden="false" customHeight="true" outlineLevel="0" collapsed="false">
      <c r="A26" s="117" t="s">
        <v>390</v>
      </c>
      <c r="B26" s="118"/>
      <c r="C26" s="119"/>
      <c r="D26" s="115"/>
    </row>
    <row r="27" customFormat="false" ht="21.75" hidden="false" customHeight="true" outlineLevel="0" collapsed="false">
      <c r="A27" s="121" t="s">
        <v>391</v>
      </c>
      <c r="B27" s="122" t="n">
        <v>0.15</v>
      </c>
      <c r="C27" s="119" t="s">
        <v>50</v>
      </c>
      <c r="D27" s="115" t="s">
        <v>392</v>
      </c>
    </row>
    <row r="28" customFormat="false" ht="21.75" hidden="false" customHeight="true" outlineLevel="0" collapsed="false">
      <c r="A28" s="121" t="s">
        <v>393</v>
      </c>
      <c r="B28" s="113" t="n">
        <v>35</v>
      </c>
      <c r="C28" s="119" t="s">
        <v>394</v>
      </c>
      <c r="D28" s="115" t="s">
        <v>395</v>
      </c>
    </row>
    <row r="29" customFormat="false" ht="15" hidden="false" customHeight="true" outlineLevel="0" collapsed="false">
      <c r="A29" s="121" t="s">
        <v>396</v>
      </c>
      <c r="B29" s="113" t="n">
        <v>33</v>
      </c>
      <c r="C29" s="119" t="s">
        <v>394</v>
      </c>
      <c r="D29" s="115" t="s">
        <v>397</v>
      </c>
    </row>
    <row r="30" customFormat="false" ht="21.75" hidden="false" customHeight="true" outlineLevel="0" collapsed="false">
      <c r="A30" s="117" t="s">
        <v>398</v>
      </c>
      <c r="B30" s="118"/>
      <c r="C30" s="119"/>
      <c r="D30" s="115" t="s">
        <v>399</v>
      </c>
    </row>
    <row r="31" customFormat="false" ht="21.75" hidden="false" customHeight="true" outlineLevel="0" collapsed="false">
      <c r="A31" s="120" t="s">
        <v>400</v>
      </c>
      <c r="B31" s="126" t="n">
        <v>2.5</v>
      </c>
      <c r="C31" s="119" t="s">
        <v>401</v>
      </c>
      <c r="D31" s="115" t="s">
        <v>402</v>
      </c>
    </row>
    <row r="32" customFormat="false" ht="15" hidden="false" customHeight="true" outlineLevel="0" collapsed="false">
      <c r="A32" s="121" t="s">
        <v>403</v>
      </c>
      <c r="B32" s="122" t="n">
        <v>0.35</v>
      </c>
      <c r="C32" s="119" t="s">
        <v>50</v>
      </c>
      <c r="D32" s="115" t="s">
        <v>404</v>
      </c>
    </row>
    <row r="33" customFormat="false" ht="21.75" hidden="false" customHeight="true" outlineLevel="0" collapsed="false">
      <c r="A33" s="9" t="s">
        <v>405</v>
      </c>
      <c r="B33" s="127" t="n">
        <f aca="false">1+B31*B32</f>
        <v>1.875</v>
      </c>
      <c r="C33" s="119" t="s">
        <v>406</v>
      </c>
      <c r="D33" s="115" t="s">
        <v>407</v>
      </c>
    </row>
    <row r="35" customFormat="false" ht="18" hidden="false" customHeight="true" outlineLevel="0" collapsed="false">
      <c r="A35" s="111" t="s">
        <v>408</v>
      </c>
      <c r="B35" s="111"/>
      <c r="C35" s="111"/>
      <c r="D35" s="111"/>
      <c r="E35" s="111"/>
      <c r="F35" s="111"/>
      <c r="G35" s="111"/>
      <c r="H35" s="111"/>
    </row>
    <row r="36" customFormat="false" ht="27.75" hidden="false" customHeight="true" outlineLevel="0" collapsed="false">
      <c r="A36" s="112" t="s">
        <v>221</v>
      </c>
      <c r="B36" s="112" t="s">
        <v>409</v>
      </c>
      <c r="C36" s="112" t="s">
        <v>410</v>
      </c>
      <c r="D36" s="112" t="s">
        <v>411</v>
      </c>
      <c r="E36" s="112" t="s">
        <v>412</v>
      </c>
      <c r="F36" s="112" t="s">
        <v>413</v>
      </c>
      <c r="G36" s="112" t="s">
        <v>6</v>
      </c>
    </row>
    <row r="37" customFormat="false" ht="32.25" hidden="false" customHeight="true" outlineLevel="0" collapsed="false">
      <c r="A37" s="117" t="s">
        <v>414</v>
      </c>
      <c r="B37" s="128"/>
      <c r="C37" s="128"/>
      <c r="D37" s="128"/>
      <c r="E37" s="128"/>
      <c r="F37" s="128"/>
      <c r="G37" s="115" t="s">
        <v>415</v>
      </c>
    </row>
    <row r="38" customFormat="false" ht="42.75" hidden="false" customHeight="true" outlineLevel="0" collapsed="false">
      <c r="A38" s="9" t="s">
        <v>416</v>
      </c>
      <c r="B38" s="67" t="n">
        <f aca="false">B22*6</f>
        <v>495</v>
      </c>
      <c r="C38" s="67" t="n">
        <f aca="false">B22*12</f>
        <v>990</v>
      </c>
      <c r="D38" s="67" t="n">
        <f aca="false">B22*12</f>
        <v>990</v>
      </c>
      <c r="E38" s="67" t="n">
        <f aca="false">B22*12</f>
        <v>990</v>
      </c>
      <c r="F38" s="67" t="n">
        <f aca="false">B22*12</f>
        <v>990</v>
      </c>
      <c r="G38" s="115" t="s">
        <v>417</v>
      </c>
    </row>
    <row r="39" customFormat="false" ht="32.25" hidden="false" customHeight="true" outlineLevel="0" collapsed="false">
      <c r="A39" s="9" t="s">
        <v>418</v>
      </c>
      <c r="B39" s="67" t="n">
        <f aca="false">B38</f>
        <v>495</v>
      </c>
      <c r="C39" s="67" t="n">
        <f aca="false">B39+C38</f>
        <v>1485</v>
      </c>
      <c r="D39" s="67" t="n">
        <f aca="false">C39+D38</f>
        <v>2475</v>
      </c>
      <c r="E39" s="67" t="n">
        <f aca="false">D39+E38</f>
        <v>3465</v>
      </c>
      <c r="F39" s="67" t="n">
        <f aca="false">E39+F38</f>
        <v>4455</v>
      </c>
      <c r="G39" s="115" t="s">
        <v>419</v>
      </c>
    </row>
    <row r="40" customFormat="false" ht="42.75" hidden="false" customHeight="true" outlineLevel="0" collapsed="false">
      <c r="A40" s="117" t="s">
        <v>420</v>
      </c>
      <c r="B40" s="128"/>
      <c r="C40" s="128"/>
      <c r="D40" s="128"/>
      <c r="E40" s="128"/>
      <c r="F40" s="128"/>
      <c r="G40" s="115" t="s">
        <v>421</v>
      </c>
    </row>
    <row r="41" customFormat="false" ht="53.25" hidden="false" customHeight="true" outlineLevel="0" collapsed="false">
      <c r="A41" s="9" t="s">
        <v>422</v>
      </c>
      <c r="B41" s="113" t="n">
        <v>0</v>
      </c>
      <c r="C41" s="67" t="n">
        <f aca="false">B38*B24</f>
        <v>138.6</v>
      </c>
      <c r="D41" s="67" t="n">
        <f aca="false">C38*B24</f>
        <v>277.2</v>
      </c>
      <c r="E41" s="67" t="n">
        <f aca="false">D38*B24</f>
        <v>277.2</v>
      </c>
      <c r="F41" s="67" t="n">
        <f aca="false">E38*B24</f>
        <v>277.2</v>
      </c>
      <c r="G41" s="115" t="s">
        <v>423</v>
      </c>
    </row>
    <row r="42" customFormat="false" ht="53.25" hidden="false" customHeight="true" outlineLevel="0" collapsed="false">
      <c r="A42" s="9" t="s">
        <v>424</v>
      </c>
      <c r="B42" s="113" t="n">
        <v>0</v>
      </c>
      <c r="C42" s="113" t="n">
        <v>0</v>
      </c>
      <c r="D42" s="67" t="n">
        <f aca="false">D41*B27</f>
        <v>41.58</v>
      </c>
      <c r="E42" s="67" t="n">
        <f aca="false">(D41+E41)*B27</f>
        <v>83.16</v>
      </c>
      <c r="F42" s="67" t="n">
        <f aca="false">(D41+E41+F41)*B27</f>
        <v>124.74</v>
      </c>
      <c r="G42" s="115" t="s">
        <v>425</v>
      </c>
    </row>
    <row r="43" customFormat="false" ht="21.75" hidden="false" customHeight="true" outlineLevel="0" collapsed="false">
      <c r="A43" s="9" t="s">
        <v>426</v>
      </c>
      <c r="B43" s="67" t="n">
        <f aca="false">C41-C42</f>
        <v>138.6</v>
      </c>
      <c r="C43" s="67" t="n">
        <f aca="false">D41-D42</f>
        <v>235.62</v>
      </c>
      <c r="D43" s="67" t="n">
        <f aca="false">E41-E42</f>
        <v>194.04</v>
      </c>
      <c r="E43" s="67" t="n">
        <f aca="false">F41-F42</f>
        <v>152.46</v>
      </c>
      <c r="F43" s="67" t="n">
        <f aca="false">F41-F42</f>
        <v>152.46</v>
      </c>
      <c r="G43" s="129" t="s">
        <v>427</v>
      </c>
    </row>
    <row r="44" customFormat="false" ht="32.25" hidden="false" customHeight="true" outlineLevel="0" collapsed="false">
      <c r="A44" s="9" t="s">
        <v>428</v>
      </c>
      <c r="B44" s="113" t="n">
        <v>0</v>
      </c>
      <c r="C44" s="67" t="n">
        <f aca="false">C43</f>
        <v>235.62</v>
      </c>
      <c r="D44" s="67" t="n">
        <f aca="false">C44+D43</f>
        <v>429.66</v>
      </c>
      <c r="E44" s="67" t="n">
        <f aca="false">D44+E43</f>
        <v>582.12</v>
      </c>
      <c r="F44" s="67" t="n">
        <f aca="false">E44+F43</f>
        <v>734.58</v>
      </c>
      <c r="G44" s="129" t="s">
        <v>429</v>
      </c>
    </row>
    <row r="45" customFormat="false" ht="15" hidden="false" customHeight="true" outlineLevel="0" collapsed="false">
      <c r="A45" s="117" t="s">
        <v>430</v>
      </c>
      <c r="B45" s="128"/>
      <c r="C45" s="128"/>
      <c r="D45" s="128"/>
      <c r="E45" s="128"/>
      <c r="F45" s="128"/>
      <c r="G45" s="115"/>
    </row>
    <row r="46" customFormat="false" ht="32.25" hidden="false" customHeight="true" outlineLevel="0" collapsed="false">
      <c r="A46" s="9" t="s">
        <v>431</v>
      </c>
      <c r="B46" s="113" t="n">
        <v>0</v>
      </c>
      <c r="C46" s="53" t="n">
        <f aca="false">C44*Assumptions!B12</f>
        <v>11778.6438</v>
      </c>
      <c r="D46" s="53" t="n">
        <f aca="false">D44*Assumptions!B12</f>
        <v>21478.7034</v>
      </c>
      <c r="E46" s="53" t="n">
        <f aca="false">E44*Assumptions!B12</f>
        <v>29100.1788</v>
      </c>
      <c r="F46" s="53" t="n">
        <f aca="false">F44*Assumptions!B12</f>
        <v>36721.6542</v>
      </c>
      <c r="G46" s="129" t="s">
        <v>432</v>
      </c>
    </row>
    <row r="47" customFormat="false" ht="32.25" hidden="false" customHeight="true" outlineLevel="0" collapsed="false">
      <c r="A47" s="9" t="s">
        <v>433</v>
      </c>
      <c r="B47" s="113" t="n">
        <v>0</v>
      </c>
      <c r="C47" s="130" t="n">
        <f aca="false">IFERROR(C46/86242, 0)</f>
        <v>0.136576654066464</v>
      </c>
      <c r="D47" s="130" t="n">
        <f aca="false">IFERROR(D46/90344, 0)</f>
        <v>0.237743551314974</v>
      </c>
      <c r="E47" s="130" t="n">
        <f aca="false">IFERROR(E46/139533, 0)</f>
        <v>0.208554096880308</v>
      </c>
      <c r="F47" s="130" t="n">
        <f aca="false">IFERROR(F46/175000, 0)</f>
        <v>0.209838024</v>
      </c>
      <c r="G47" s="115" t="s">
        <v>434</v>
      </c>
    </row>
    <row r="50" customFormat="false" ht="18" hidden="false" customHeight="true" outlineLevel="0" collapsed="false">
      <c r="A50" s="111" t="s">
        <v>435</v>
      </c>
      <c r="B50" s="111"/>
      <c r="C50" s="111"/>
      <c r="D50" s="111"/>
      <c r="E50" s="111"/>
      <c r="F50" s="111"/>
      <c r="G50" s="111"/>
      <c r="H50" s="111"/>
    </row>
    <row r="51" customFormat="false" ht="30" hidden="false" customHeight="true" outlineLevel="0" collapsed="false">
      <c r="A51" s="112" t="s">
        <v>221</v>
      </c>
      <c r="B51" s="112" t="s">
        <v>436</v>
      </c>
      <c r="C51" s="112" t="s">
        <v>437</v>
      </c>
      <c r="D51" s="112" t="s">
        <v>438</v>
      </c>
      <c r="E51" s="112" t="s">
        <v>6</v>
      </c>
    </row>
    <row r="52" customFormat="false" ht="21.75" hidden="false" customHeight="true" outlineLevel="0" collapsed="false">
      <c r="A52" s="9" t="s">
        <v>439</v>
      </c>
      <c r="B52" s="125" t="n">
        <f aca="false">Assumptions!B12</f>
        <v>49.99</v>
      </c>
      <c r="C52" s="125" t="n">
        <f aca="false">Assumptions!B12</f>
        <v>49.99</v>
      </c>
      <c r="D52" s="125" t="n">
        <f aca="false">C52-B52</f>
        <v>0</v>
      </c>
      <c r="E52" s="115" t="s">
        <v>440</v>
      </c>
      <c r="F52" s="118"/>
      <c r="G52" s="118"/>
      <c r="H52" s="118"/>
    </row>
    <row r="53" customFormat="false" ht="21.75" hidden="false" customHeight="true" outlineLevel="0" collapsed="false">
      <c r="A53" s="9" t="s">
        <v>441</v>
      </c>
      <c r="B53" s="125" t="n">
        <f aca="false">B52</f>
        <v>49.99</v>
      </c>
      <c r="C53" s="131" t="n">
        <v>0</v>
      </c>
      <c r="D53" s="125" t="n">
        <f aca="false">C53-B53</f>
        <v>-49.99</v>
      </c>
      <c r="E53" s="115" t="s">
        <v>442</v>
      </c>
      <c r="F53" s="118"/>
      <c r="G53" s="118"/>
      <c r="H53" s="118"/>
    </row>
    <row r="54" customFormat="false" ht="32.25" hidden="false" customHeight="true" outlineLevel="0" collapsed="false">
      <c r="A54" s="9" t="s">
        <v>443</v>
      </c>
      <c r="B54" s="132" t="n">
        <f aca="false">Assumptions!B27</f>
        <v>0.18</v>
      </c>
      <c r="C54" s="132" t="n">
        <f aca="false">B27</f>
        <v>0.15</v>
      </c>
      <c r="D54" s="132" t="n">
        <f aca="false">C54-B54</f>
        <v>-0.03</v>
      </c>
      <c r="E54" s="115" t="s">
        <v>444</v>
      </c>
      <c r="F54" s="118"/>
      <c r="G54" s="118"/>
      <c r="H54" s="118"/>
    </row>
    <row r="55" customFormat="false" ht="21.75" hidden="false" customHeight="true" outlineLevel="0" collapsed="false">
      <c r="A55" s="9" t="s">
        <v>445</v>
      </c>
      <c r="B55" s="133" t="n">
        <f aca="false">IFERROR(1/B54, 0)</f>
        <v>5.55555555555556</v>
      </c>
      <c r="C55" s="133" t="n">
        <f aca="false">IFERROR(1/C54, 0)</f>
        <v>6.66666666666667</v>
      </c>
      <c r="D55" s="133" t="n">
        <f aca="false">C55-B55</f>
        <v>1.11111111111111</v>
      </c>
      <c r="E55" s="115" t="s">
        <v>446</v>
      </c>
      <c r="F55" s="118"/>
      <c r="G55" s="118"/>
      <c r="H55" s="118"/>
    </row>
    <row r="56" customFormat="false" ht="21.75" hidden="false" customHeight="true" outlineLevel="0" collapsed="false">
      <c r="A56" s="9" t="s">
        <v>447</v>
      </c>
      <c r="B56" s="53" t="n">
        <f aca="false">B52*B55</f>
        <v>277.722222222222</v>
      </c>
      <c r="C56" s="53" t="n">
        <f aca="false">C52*C55</f>
        <v>333.266666666667</v>
      </c>
      <c r="D56" s="53" t="n">
        <f aca="false">C56-B56</f>
        <v>55.5444444444445</v>
      </c>
      <c r="E56" s="115" t="s">
        <v>448</v>
      </c>
      <c r="F56" s="118"/>
      <c r="G56" s="118"/>
      <c r="H56" s="118"/>
    </row>
    <row r="57" customFormat="false" ht="21.75" hidden="false" customHeight="true" outlineLevel="0" collapsed="false">
      <c r="A57" s="9" t="s">
        <v>449</v>
      </c>
      <c r="B57" s="134" t="n">
        <v>35</v>
      </c>
      <c r="C57" s="134" t="n">
        <v>20</v>
      </c>
      <c r="D57" s="53" t="n">
        <f aca="false">C57-B57</f>
        <v>-15</v>
      </c>
      <c r="E57" s="115" t="s">
        <v>450</v>
      </c>
      <c r="F57" s="118"/>
      <c r="G57" s="118"/>
      <c r="H57" s="118"/>
    </row>
    <row r="58" customFormat="false" ht="21.75" hidden="false" customHeight="true" outlineLevel="0" collapsed="false">
      <c r="A58" s="9" t="s">
        <v>451</v>
      </c>
      <c r="B58" s="127" t="n">
        <f aca="false">IFERROR(B56/B57, 0)</f>
        <v>7.93492063492064</v>
      </c>
      <c r="C58" s="127" t="n">
        <f aca="false">IFERROR(C56/C57, 0)</f>
        <v>16.6633333333333</v>
      </c>
      <c r="D58" s="127" t="n">
        <f aca="false">C58-B58</f>
        <v>8.7284126984127</v>
      </c>
      <c r="E58" s="115" t="s">
        <v>452</v>
      </c>
      <c r="F58" s="118"/>
      <c r="G58" s="118"/>
      <c r="H58" s="118"/>
    </row>
    <row r="59" customFormat="false" ht="32.25" hidden="false" customHeight="true" outlineLevel="0" collapsed="false">
      <c r="A59" s="9" t="s">
        <v>453</v>
      </c>
      <c r="B59" s="53" t="n">
        <f aca="false">Assumptions!B12*40*(1-Assumptions!B27)</f>
        <v>1639.672</v>
      </c>
      <c r="C59" s="53" t="n">
        <f aca="false">Assumptions!B12*39*(1-B27)</f>
        <v>1657.1685</v>
      </c>
      <c r="D59" s="53" t="n">
        <f aca="false">C59-B59</f>
        <v>17.4964999999997</v>
      </c>
      <c r="E59" s="115" t="s">
        <v>454</v>
      </c>
      <c r="F59" s="118"/>
      <c r="G59" s="118"/>
      <c r="H59" s="118"/>
    </row>
    <row r="62" customFormat="false" ht="18" hidden="false" customHeight="true" outlineLevel="0" collapsed="false">
      <c r="A62" s="111" t="s">
        <v>455</v>
      </c>
      <c r="B62" s="111"/>
      <c r="C62" s="111"/>
      <c r="D62" s="111"/>
      <c r="E62" s="111"/>
      <c r="F62" s="111"/>
      <c r="G62" s="111"/>
      <c r="H62" s="111"/>
    </row>
    <row r="63" customFormat="false" ht="18" hidden="false" customHeight="true" outlineLevel="0" collapsed="false">
      <c r="A63" s="135" t="s">
        <v>456</v>
      </c>
      <c r="B63" s="136" t="s">
        <v>457</v>
      </c>
      <c r="C63" s="136"/>
      <c r="D63" s="136"/>
      <c r="E63" s="136"/>
      <c r="F63" s="136"/>
      <c r="G63" s="136"/>
      <c r="H63" s="136"/>
    </row>
    <row r="64" customFormat="false" ht="18" hidden="false" customHeight="true" outlineLevel="0" collapsed="false">
      <c r="A64" s="137" t="s">
        <v>458</v>
      </c>
      <c r="B64" s="138" t="s">
        <v>459</v>
      </c>
      <c r="C64" s="138"/>
      <c r="D64" s="138"/>
      <c r="E64" s="138"/>
      <c r="F64" s="138"/>
      <c r="G64" s="138"/>
      <c r="H64" s="138"/>
    </row>
    <row r="65" customFormat="false" ht="18" hidden="false" customHeight="true" outlineLevel="0" collapsed="false">
      <c r="A65" s="135" t="s">
        <v>460</v>
      </c>
      <c r="B65" s="136" t="s">
        <v>461</v>
      </c>
      <c r="C65" s="136"/>
      <c r="D65" s="136"/>
      <c r="E65" s="136"/>
      <c r="F65" s="136"/>
      <c r="G65" s="136"/>
      <c r="H65" s="136"/>
    </row>
    <row r="66" customFormat="false" ht="18" hidden="false" customHeight="true" outlineLevel="0" collapsed="false">
      <c r="A66" s="137" t="s">
        <v>462</v>
      </c>
      <c r="B66" s="138" t="s">
        <v>463</v>
      </c>
      <c r="C66" s="138"/>
      <c r="D66" s="138"/>
      <c r="E66" s="138"/>
      <c r="F66" s="138"/>
      <c r="G66" s="138"/>
      <c r="H66" s="138"/>
    </row>
    <row r="67" customFormat="false" ht="18" hidden="false" customHeight="true" outlineLevel="0" collapsed="false">
      <c r="A67" s="135" t="s">
        <v>464</v>
      </c>
      <c r="B67" s="136" t="s">
        <v>465</v>
      </c>
      <c r="C67" s="136"/>
      <c r="D67" s="136"/>
      <c r="E67" s="136"/>
      <c r="F67" s="136"/>
      <c r="G67" s="136"/>
      <c r="H67" s="136"/>
    </row>
    <row r="68" customFormat="false" ht="18" hidden="false" customHeight="true" outlineLevel="0" collapsed="false">
      <c r="A68" s="137" t="s">
        <v>466</v>
      </c>
      <c r="B68" s="138" t="s">
        <v>467</v>
      </c>
      <c r="C68" s="138"/>
      <c r="D68" s="138"/>
      <c r="E68" s="138"/>
      <c r="F68" s="138"/>
      <c r="G68" s="138"/>
      <c r="H68" s="138"/>
    </row>
    <row r="69" customFormat="false" ht="18" hidden="false" customHeight="true" outlineLevel="0" collapsed="false">
      <c r="A69" s="135" t="s">
        <v>468</v>
      </c>
      <c r="B69" s="136" t="s">
        <v>469</v>
      </c>
      <c r="C69" s="136"/>
      <c r="D69" s="136"/>
      <c r="E69" s="136"/>
      <c r="F69" s="136"/>
      <c r="G69" s="136"/>
      <c r="H69" s="136"/>
    </row>
    <row r="70" customFormat="false" ht="18" hidden="false" customHeight="true" outlineLevel="0" collapsed="false">
      <c r="A70" s="137" t="s">
        <v>470</v>
      </c>
      <c r="B70" s="138" t="s">
        <v>471</v>
      </c>
      <c r="C70" s="138"/>
      <c r="D70" s="138"/>
      <c r="E70" s="138"/>
      <c r="F70" s="138"/>
      <c r="G70" s="138"/>
      <c r="H70" s="138"/>
    </row>
  </sheetData>
  <mergeCells count="15">
    <mergeCell ref="A1:H1"/>
    <mergeCell ref="A2:H2"/>
    <mergeCell ref="A4:H4"/>
    <mergeCell ref="A13:H13"/>
    <mergeCell ref="A35:H35"/>
    <mergeCell ref="A50:H50"/>
    <mergeCell ref="A62:H62"/>
    <mergeCell ref="B63:H63"/>
    <mergeCell ref="B64:H64"/>
    <mergeCell ref="B65:H65"/>
    <mergeCell ref="B66:H66"/>
    <mergeCell ref="B67:H67"/>
    <mergeCell ref="B68:H68"/>
    <mergeCell ref="B69:H69"/>
    <mergeCell ref="B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2026-02-22T21:23:26Z</dcterms:created>
  <dc:creator>openpyxl</dc:creator>
  <dc:description/>
  <dc:language>en-US</dc:language>
  <cp:lastModifiedBy/>
  <dcterms:modified xsi:type="dcterms:W3CDTF">2026-02-23T12:38:29Z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