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03"/>
  <workbookPr defaultThemeVersion="166925"/>
  <mc:AlternateContent xmlns:mc="http://schemas.openxmlformats.org/markup-compatibility/2006">
    <mc:Choice Requires="x15">
      <x15ac:absPath xmlns:x15ac="http://schemas.microsoft.com/office/spreadsheetml/2010/11/ac" url="https://catalystmeded.sharepoint.com/sites/SecretProjects/Shared Documents/General/"/>
    </mc:Choice>
  </mc:AlternateContent>
  <xr:revisionPtr revIDLastSave="258" documentId="11_677BC46CDD237B7D58E64ADBD33580902C73F02E" xr6:coauthVersionLast="47" xr6:coauthVersionMax="47" xr10:uidLastSave="{8B0C1087-56B7-4A73-961A-49BD0D2A747A}"/>
  <bookViews>
    <workbookView xWindow="-103" yWindow="-103" windowWidth="33120" windowHeight="18000" xr2:uid="{00000000-000D-0000-FFFF-FFFF00000000}"/>
  </bookViews>
  <sheets>
    <sheet name="Sheet1" sheetId="1" r:id="rId1"/>
  </sheets>
  <definedNames>
    <definedName name="_xlnm._FilterDatabase" localSheetId="0" hidden="1">Sheet1!$A$1:$O$1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2" i="1"/>
</calcChain>
</file>

<file path=xl/sharedStrings.xml><?xml version="1.0" encoding="utf-8"?>
<sst xmlns="http://schemas.openxmlformats.org/spreadsheetml/2006/main" count="127" uniqueCount="101">
  <si>
    <t>#</t>
  </si>
  <si>
    <t>Profession</t>
  </si>
  <si>
    <t xml:space="preserve">Name </t>
  </si>
  <si>
    <t>Email</t>
  </si>
  <si>
    <t>Website</t>
  </si>
  <si>
    <t>Notes 1</t>
  </si>
  <si>
    <t>Notes 2</t>
  </si>
  <si>
    <t>Cost Structure</t>
  </si>
  <si>
    <t>1/4 Credit</t>
  </si>
  <si>
    <t>1/2 Credit</t>
  </si>
  <si>
    <t>3/4 Credit</t>
  </si>
  <si>
    <t>1/Credit</t>
  </si>
  <si>
    <t>AMWA:  catalyst; AMWAcme3577!!</t>
  </si>
  <si>
    <t>Searched Radiology / Imaging</t>
  </si>
  <si>
    <t>Writer</t>
  </si>
  <si>
    <t>Kelli</t>
  </si>
  <si>
    <t>Soft skills topics; writing quality - moderate; speedy; cost effective</t>
  </si>
  <si>
    <t xml:space="preserve">Hourly rate: $85
Flat rate (all in, with learning objectives, references and MC questions): 
o¼ CE (1600 words): $850 o½ CE (2500 words): $1300 1 CE (5000 words): $2500 </t>
  </si>
  <si>
    <t>Mark Bowes</t>
  </si>
  <si>
    <t>Writing quality - excellent; medium speed; expensive</t>
  </si>
  <si>
    <t xml:space="preserve">Hourly rate: $100  
Flat rate (all in, with learning objectives, references and MC questions):  
¼ CE (1600 words): $1,500 
½ CE (2500 words): $3,000 
1 CE (5000 words): $6,000 </t>
  </si>
  <si>
    <t>Heidi Veillette</t>
  </si>
  <si>
    <t>Heidi@VeilletteCommunications.com</t>
  </si>
  <si>
    <t>https://www.veillettecommunications.com/</t>
  </si>
  <si>
    <t>freelance medical writer specializing in medical imaging and biotechnology. Throughout my 17 years of experience as an x-ray, CT and MRI technologist,</t>
  </si>
  <si>
    <t>Writing quality - excellent; cost-effective; average speed - 1/month</t>
  </si>
  <si>
    <t xml:space="preserve">Hourly rate: $85
Flat rate (all in, with learning objectives, references and MC questions): 
o¼ CE (1600 words): $850 o½ CE (2500 words): $1300 o1 CE (5000 words): $2500 </t>
  </si>
  <si>
    <t>Jess emailed on 2/7</t>
  </si>
  <si>
    <t>Dr. Jessyca B. Wagner, RT(R), she/her</t>
  </si>
  <si>
    <t>jessyca@cwelite.com</t>
  </si>
  <si>
    <t>https://cwelite.com/</t>
  </si>
  <si>
    <t>Jessyca is an experienced educator and accomplished author and researcher. She serves the medical imaging profession in many volunteer capacities, including editorial review board member for the American Society of Radiologic Technologists academic journal, Radiologic Technology, as well as other interdisciplinary healthcare journals. She has ten years of experience assisting students with research papers, publications, and presentations.</t>
  </si>
  <si>
    <t xml:space="preserve">Hourly rate: $100 
Flat rate: 
¼ CE: $1,500 
½ CE: $3,000 
1 CE: $6,000 </t>
  </si>
  <si>
    <t xml:space="preserve">Hourly rate: $150 
Flat rate: 
¼ CE: $1,500 
½ CE: $3,000 
1 CE: $6,000 </t>
  </si>
  <si>
    <t xml:space="preserve">Katie Faguy </t>
  </si>
  <si>
    <t>https://www.linkedin.com/in/katie-faguy-4a4a378/?profileId=ACoAAAGTnPwBu_dUNAduLJhaShBMTCkrxv_2h6M</t>
  </si>
  <si>
    <t>former ASRT</t>
  </si>
  <si>
    <t>Katie Faguy – contacted via linked in https://www.linkedin.com/in/katie-faguy-4a4a378/ </t>
  </si>
  <si>
    <t>Lou reached out via linkedin on 2/7/23</t>
  </si>
  <si>
    <t>Amanda S. Huynh</t>
  </si>
  <si>
    <t>amanda@ethanashleyconsulting.com</t>
  </si>
  <si>
    <t> Ethan Ashley Consulting, Inc; http://ethanashleyconsulting.com/</t>
  </si>
  <si>
    <t>experience in: imaging: ultrasound, PET/CT, MRI, fluorescence imaging, microscopy, fluorescence-guided surgery
SRB, IRB, IACUC protocols</t>
  </si>
  <si>
    <t>emailed to set up call week of 3/27</t>
  </si>
  <si>
    <t>Tara Rachinsky</t>
  </si>
  <si>
    <t> tara@valencebiomed.com</t>
  </si>
  <si>
    <t>http://valencebiomed.com</t>
  </si>
  <si>
    <t>Rachel Whatley</t>
  </si>
  <si>
    <t>rjwhatley@whatleymedicalwriting.com</t>
  </si>
  <si>
    <t>did not respond to communication</t>
  </si>
  <si>
    <t>Writers: Rachel Whatley (rjwhatley@whatleymedicalwriting.com) - did not respond to communication </t>
  </si>
  <si>
    <t>Kevin Clark</t>
  </si>
  <si>
    <t>kevin@cwelite.com</t>
  </si>
  <si>
    <t>Kevin is an experienced educator and avid author and researcher. He serves the medical imaging and radiation therapy profession in many volunteer capacities, including editorial review board member for various academic journals, and Executive Editor of the Association of Educators in Imaging and Radiologic Sciences newsletter, Spectrum. He has multiple years of experience assisting students with their thesis and dissertation projects.</t>
  </si>
  <si>
    <t>Kevin Clark (http://linkedin.com/in/kevin-r-clark-0a319648) - contacted via email (https://cwelite.com/)    http://linkedin.com/in/kevin-r-clark-0a319648)</t>
  </si>
  <si>
    <t>Thea C. Moran</t>
  </si>
  <si>
    <t> myriadmd@yahoo.com; 
tmoran@myriadmd.com</t>
  </si>
  <si>
    <t> http://www.myriadmd.com</t>
  </si>
  <si>
    <t>Practicing radiologist - I am a freelance writer who is board certified in diagnostic and interventional radiology who is interested in editing manuscripts (most notably for ESL authors) and CME writing.</t>
  </si>
  <si>
    <t>DO NOT USE!! Jess emailed on 2/7</t>
  </si>
  <si>
    <t>ERAD - peeps</t>
  </si>
  <si>
    <t>Jacqueline (Kim) Mylan, MBA, RT(T)*</t>
  </si>
  <si>
    <t>Address correspondence to: Jacqueline (Kim) Mylan, MBA, RT(T). E-mail: jkimmylan@yahoo.com.</t>
  </si>
  <si>
    <t>*Program Dean and Instructor Emeritus, Radiation Therapy, Cambridge College of Healthcare and Technology, Delra</t>
  </si>
  <si>
    <t>George Tsoukatos, BPS, RT (R)</t>
  </si>
  <si>
    <t>Address correspondence to: George Tsoukatos, BPS, RT(R), Radiology Support Services, PO Box 215, Germantown, NY 12526. Email: radiologytechnique@gmail.com.</t>
  </si>
  <si>
    <t> MedCom Consultants, Inc.</t>
  </si>
  <si>
    <t>*Medical Imaging Consultant, Radiology Support Services, Germantown, NY</t>
  </si>
  <si>
    <t>Steven M. Marks</t>
  </si>
  <si>
    <t>steven.marks52@gmail.com</t>
  </si>
  <si>
    <t>http://www.medcomconsultants.com/</t>
  </si>
  <si>
    <t>People also viewedPeople also viewed</t>
  </si>
  <si>
    <t>Cheryl DuBose profile picture</t>
  </si>
  <si>
    <t>Cheryl DuBoseCheryl DuBose</t>
  </si>
  <si>
    <t>· 3rdThird degree connection</t>
  </si>
  <si>
    <t>Dept Chair &amp; Professor, Medical Imaging and Radiation SciencesDept Chair &amp; Professor, Medical Imaging and Radiation Sciences</t>
  </si>
  <si>
    <t>Message</t>
  </si>
  <si>
    <t>Brandon S. profile picture</t>
  </si>
  <si>
    <t>Brandon S.Brandon S.</t>
  </si>
  <si>
    <t>· 2ndSecond degree connection</t>
  </si>
  <si>
    <t>Medical Imaging &amp; Radiation Therapy Champion #BeRADMedical Imaging &amp; Radiation Therapy Champion #BeRAD</t>
  </si>
  <si>
    <t>Follow</t>
  </si>
  <si>
    <t>Susan K. Lee, PhD, RN, CNE, CPXP, FAAN profile picture</t>
  </si>
  <si>
    <t>Susan K. Lee, PhD, RN, CNE, CPXP, FAANSusan K. Lee, PhD, RN, CNE, CPXP, FAAN</t>
  </si>
  <si>
    <t>Program Director at UT-MD Anderson Cancer CenterProgram Director at UT-MD Anderson Cancer Center</t>
  </si>
  <si>
    <t>Daniel DeMaio profile picture</t>
  </si>
  <si>
    <t>Daniel DeMaioDaniel DeMaio</t>
  </si>
  <si>
    <t>Radiography Program Director at University of HartfordRadiography Program Director at University of Hartford</t>
  </si>
  <si>
    <t>Connect</t>
  </si>
  <si>
    <t>Kristin Beinschroth, MPH, BSRS, R.T.(R), CHES profile picture</t>
  </si>
  <si>
    <t>Kristin Beinschroth, MPH, BSRS, R.T.(R), CHESKristin Beinschroth, MPH, BSRS, R.T.(R), CHES</t>
  </si>
  <si>
    <t>Assistant Professor of Radiologic Sciences, PhD StudentAssistant Professor of Radiologic Sciences, PhD Student</t>
  </si>
  <si>
    <t>Mary Ann Gust profile picture</t>
  </si>
  <si>
    <t>Mary Ann GustMary Ann Gust</t>
  </si>
  <si>
    <t>Program Manager/Clinical Coordinator at UT MD Anderson Cancer Center: SHPProgram Manager/Clinical Coordinator at UT MD Anderson Cancer Center: SHP</t>
  </si>
  <si>
    <t>Danyelle Elmore profile picture</t>
  </si>
  <si>
    <t>Danyelle ElmoreDanyelle Elmore</t>
  </si>
  <si>
    <t>Making and creating memories while working to become a Radiology TechnicianMaking and creating memories while working to become a Radiology Technician</t>
  </si>
  <si>
    <t>Tabitha Sabater R.T. (R)(ARRT) profile picture</t>
  </si>
  <si>
    <t>Tabitha Sabater R.T. (R)(ARRT)Tabitha Sabater R.T. (R)(ARRT)</t>
  </si>
  <si>
    <t>Radiologic TechnologistRadiologic Technologist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</si>
</sst>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font>
      <sz val="11"/>
      <color theme="1"/>
      <name val="Calibri"/>
      <family val="2"/>
      <scheme val="minor"/>
    </font>
    <font>
      <u/>
      <sz val="11"/>
      <color theme="10"/>
      <name val="Calibri"/>
      <family val="2"/>
      <scheme val="minor"/>
    </font>
    <font>
      <sz val="12"/>
      <color rgb="FF515151"/>
      <name val="Lato"/>
      <family val="2"/>
    </font>
    <font>
      <b/>
      <sz val="11"/>
      <name val="Calibri"/>
      <family val="2"/>
      <scheme val="minor"/>
    </font>
    <font>
      <sz val="11"/>
      <name val="Calibri"/>
      <family val="2"/>
      <scheme val="minor"/>
    </font>
    <font>
      <u/>
      <sz val="11"/>
      <name val="Calibri"/>
      <family val="2"/>
      <scheme val="minor"/>
    </font>
    <font>
      <sz val="10"/>
      <name val="Calibri"/>
      <family val="2"/>
      <scheme val="minor"/>
    </font>
    <font>
      <sz val="11"/>
      <color theme="1"/>
      <name val="Calibri"/>
      <family val="2"/>
      <scheme val="minor"/>
    </font>
    <font>
      <sz val="11"/>
      <color rgb="FFFF0000"/>
      <name val="Calibri"/>
      <family val="2"/>
      <scheme val="minor"/>
    </font>
    <font>
      <sz val="11"/>
      <color rgb="FF000000"/>
      <name val="Calibri"/>
      <family val="2"/>
      <scheme val="minor"/>
    </font>
    <font>
      <u/>
      <sz val="11"/>
      <color rgb="FF000000"/>
      <name val="Calibri"/>
      <family val="2"/>
      <scheme val="minor"/>
    </font>
    <font>
      <sz val="11"/>
      <color rgb="FF000000"/>
      <name val="Calibri"/>
    </font>
    <font>
      <sz val="11"/>
      <color rgb="FF000000"/>
      <name val="Calibri"/>
      <charset val="1"/>
    </font>
    <font>
      <sz val="12"/>
      <color rgb="FF000000"/>
      <name val="GothamLight"/>
      <charset val="1"/>
    </font>
    <font>
      <sz val="11"/>
      <color rgb="FF444444"/>
      <name val="Calibri"/>
      <family val="2"/>
      <charset val="1"/>
    </font>
    <font>
      <sz val="12"/>
      <color rgb="FF515151"/>
      <name val="Lato"/>
      <family val="2"/>
      <charset val="1"/>
    </font>
    <font>
      <sz val="11"/>
      <color rgb="FF515151"/>
      <name val="Calibri"/>
    </font>
    <font>
      <sz val="11"/>
      <color rgb="FFFF0000"/>
      <name val="Calibri"/>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8CBAD"/>
        <bgColor indexed="64"/>
      </patternFill>
    </fill>
    <fill>
      <patternFill patternType="solid">
        <fgColor rgb="FF9BC2E6"/>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44" fontId="7" fillId="0" borderId="0" applyFont="0" applyFill="0" applyBorder="0" applyAlignment="0" applyProtection="0"/>
  </cellStyleXfs>
  <cellXfs count="30">
    <xf numFmtId="0" fontId="0" fillId="0" borderId="0" xfId="0"/>
    <xf numFmtId="0" fontId="1" fillId="0" borderId="0" xfId="1" applyAlignment="1">
      <alignment wrapText="1"/>
    </xf>
    <xf numFmtId="0" fontId="3" fillId="0" borderId="0" xfId="0" applyFont="1" applyAlignment="1">
      <alignment wrapText="1"/>
    </xf>
    <xf numFmtId="0" fontId="4" fillId="0" borderId="0" xfId="0" applyFont="1" applyAlignment="1">
      <alignment wrapText="1"/>
    </xf>
    <xf numFmtId="0" fontId="5" fillId="0" borderId="0" xfId="1" applyFont="1" applyAlignment="1">
      <alignment wrapText="1"/>
    </xf>
    <xf numFmtId="0" fontId="5" fillId="0" borderId="0" xfId="1" applyFont="1"/>
    <xf numFmtId="0" fontId="6" fillId="0" borderId="0" xfId="0" applyFont="1" applyAlignment="1">
      <alignment wrapText="1"/>
    </xf>
    <xf numFmtId="0" fontId="4" fillId="2" borderId="0" xfId="0" applyFont="1" applyFill="1" applyAlignment="1">
      <alignment wrapText="1"/>
    </xf>
    <xf numFmtId="16" fontId="3" fillId="0" borderId="0" xfId="0" applyNumberFormat="1" applyFont="1" applyAlignment="1">
      <alignment wrapText="1"/>
    </xf>
    <xf numFmtId="44" fontId="4" fillId="0" borderId="0" xfId="2" applyFont="1" applyAlignment="1">
      <alignment wrapText="1"/>
    </xf>
    <xf numFmtId="44" fontId="8" fillId="0" borderId="0" xfId="2" applyFont="1" applyAlignment="1">
      <alignment wrapText="1"/>
    </xf>
    <xf numFmtId="0" fontId="9" fillId="3" borderId="0" xfId="0" applyFont="1" applyFill="1" applyAlignment="1">
      <alignment wrapText="1"/>
    </xf>
    <xf numFmtId="0" fontId="10" fillId="3" borderId="0" xfId="1" applyFont="1" applyFill="1"/>
    <xf numFmtId="44" fontId="9" fillId="3" borderId="0" xfId="2" applyFont="1" applyFill="1" applyAlignment="1">
      <alignment wrapText="1"/>
    </xf>
    <xf numFmtId="0" fontId="11" fillId="3" borderId="0" xfId="0" applyFont="1" applyFill="1" applyAlignment="1">
      <alignment wrapText="1"/>
    </xf>
    <xf numFmtId="0" fontId="1" fillId="3" borderId="0" xfId="1" applyFill="1" applyAlignment="1">
      <alignment wrapText="1"/>
    </xf>
    <xf numFmtId="0" fontId="4" fillId="4" borderId="0" xfId="0" applyFont="1" applyFill="1" applyAlignment="1">
      <alignment wrapText="1"/>
    </xf>
    <xf numFmtId="0" fontId="1" fillId="4" borderId="0" xfId="1" applyFill="1" applyAlignment="1">
      <alignment wrapText="1"/>
    </xf>
    <xf numFmtId="0" fontId="2" fillId="4" borderId="0" xfId="0" applyFont="1" applyFill="1" applyAlignment="1">
      <alignment wrapText="1"/>
    </xf>
    <xf numFmtId="44" fontId="4" fillId="4" borderId="0" xfId="2" applyFont="1" applyFill="1" applyAlignment="1">
      <alignment wrapText="1"/>
    </xf>
    <xf numFmtId="0" fontId="12" fillId="0" borderId="0" xfId="0" applyFont="1"/>
    <xf numFmtId="0" fontId="1" fillId="0" borderId="0" xfId="1"/>
    <xf numFmtId="0" fontId="14" fillId="0" borderId="0" xfId="0" applyFont="1"/>
    <xf numFmtId="0" fontId="15" fillId="0" borderId="0" xfId="0" applyFont="1"/>
    <xf numFmtId="0" fontId="3" fillId="5" borderId="0" xfId="0" applyFont="1" applyFill="1" applyAlignment="1">
      <alignment wrapText="1"/>
    </xf>
    <xf numFmtId="0" fontId="4" fillId="5" borderId="0" xfId="0" applyFont="1" applyFill="1" applyAlignment="1">
      <alignment wrapText="1"/>
    </xf>
    <xf numFmtId="0" fontId="13" fillId="5" borderId="0" xfId="0" applyFont="1" applyFill="1" applyAlignment="1">
      <alignment wrapText="1"/>
    </xf>
    <xf numFmtId="0" fontId="16" fillId="5" borderId="0" xfId="0" applyFont="1" applyFill="1"/>
    <xf numFmtId="0" fontId="17" fillId="0" borderId="0" xfId="0" applyFont="1" applyAlignment="1">
      <alignment wrapText="1"/>
    </xf>
    <xf numFmtId="44" fontId="4" fillId="0" borderId="0" xfId="0" applyNumberFormat="1" applyFont="1" applyAlignment="1">
      <alignment wrapText="1"/>
    </xf>
  </cellXfs>
  <cellStyles count="3">
    <cellStyle name="Currency" xfId="2" builtinId="4"/>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160;myriadmd@yahoo.com;%20tmoran@myriadmd.com" TargetMode="External"/><Relationship Id="rId3" Type="http://schemas.openxmlformats.org/officeDocument/2006/relationships/hyperlink" Target="http://valencebiomed.com/" TargetMode="External"/><Relationship Id="rId7" Type="http://schemas.openxmlformats.org/officeDocument/2006/relationships/hyperlink" Target="mailto:jessyca@cwelite.com" TargetMode="External"/><Relationship Id="rId2" Type="http://schemas.openxmlformats.org/officeDocument/2006/relationships/hyperlink" Target="mailto:rjwhatley@whatleymedicalwriting.com" TargetMode="External"/><Relationship Id="rId1" Type="http://schemas.openxmlformats.org/officeDocument/2006/relationships/hyperlink" Target="https://www.linkedin.com/in/katie-faguy-4a4a378/?profileId=ACoAAAGTnPwBu_dUNAduLJhaShBMTCkrxv_2h6M" TargetMode="External"/><Relationship Id="rId6" Type="http://schemas.openxmlformats.org/officeDocument/2006/relationships/hyperlink" Target="mailto:amanda@ethanashleyconsulting.com" TargetMode="External"/><Relationship Id="rId11" Type="http://schemas.openxmlformats.org/officeDocument/2006/relationships/printerSettings" Target="../printerSettings/printerSettings1.bin"/><Relationship Id="rId5" Type="http://schemas.openxmlformats.org/officeDocument/2006/relationships/hyperlink" Target="https://www.veillettecommunications.com/" TargetMode="External"/><Relationship Id="rId10" Type="http://schemas.openxmlformats.org/officeDocument/2006/relationships/hyperlink" Target="http://www.medcomconsultants.com/" TargetMode="External"/><Relationship Id="rId4" Type="http://schemas.openxmlformats.org/officeDocument/2006/relationships/hyperlink" Target="http://www.myriadmd.com/" TargetMode="External"/><Relationship Id="rId9" Type="http://schemas.openxmlformats.org/officeDocument/2006/relationships/hyperlink" Target="mailto:radiologytechniqu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4"/>
  <sheetViews>
    <sheetView tabSelected="1" topLeftCell="C4" workbookViewId="0">
      <selection activeCell="G6" sqref="G6"/>
    </sheetView>
  </sheetViews>
  <sheetFormatPr defaultColWidth="30.5703125" defaultRowHeight="15"/>
  <cols>
    <col min="1" max="1" width="4.42578125" style="3" bestFit="1" customWidth="1"/>
    <col min="2" max="2" width="12.7109375" style="3" bestFit="1" customWidth="1"/>
    <col min="3" max="3" width="30.5703125" style="3"/>
    <col min="4" max="4" width="36.28515625" style="3" bestFit="1" customWidth="1"/>
    <col min="5" max="8" width="30.5703125" style="3"/>
    <col min="9" max="11" width="12.42578125" style="3" bestFit="1" customWidth="1"/>
    <col min="12" max="12" width="10.85546875" style="3" bestFit="1" customWidth="1"/>
    <col min="13" max="13" width="32.85546875" style="3" bestFit="1" customWidth="1"/>
    <col min="14" max="16384" width="30.5703125" style="3"/>
  </cols>
  <sheetData>
    <row r="1" spans="1:15" ht="30.75">
      <c r="A1" s="3" t="s">
        <v>0</v>
      </c>
      <c r="B1" s="2" t="s">
        <v>1</v>
      </c>
      <c r="C1" s="2" t="s">
        <v>2</v>
      </c>
      <c r="D1" s="2" t="s">
        <v>3</v>
      </c>
      <c r="E1" s="2" t="s">
        <v>4</v>
      </c>
      <c r="F1" s="2" t="s">
        <v>5</v>
      </c>
      <c r="G1" s="2" t="s">
        <v>6</v>
      </c>
      <c r="H1" s="2" t="s">
        <v>7</v>
      </c>
      <c r="I1" s="8" t="s">
        <v>8</v>
      </c>
      <c r="J1" s="2" t="s">
        <v>9</v>
      </c>
      <c r="K1" s="2" t="s">
        <v>10</v>
      </c>
      <c r="L1" s="2" t="s">
        <v>11</v>
      </c>
      <c r="M1" s="3" t="s">
        <v>12</v>
      </c>
      <c r="N1" s="3" t="s">
        <v>13</v>
      </c>
    </row>
    <row r="2" spans="1:15" ht="106.5">
      <c r="A2" s="3">
        <v>1</v>
      </c>
      <c r="B2" s="3" t="s">
        <v>14</v>
      </c>
      <c r="C2" s="7" t="s">
        <v>15</v>
      </c>
      <c r="D2" s="2"/>
      <c r="E2" s="2"/>
      <c r="F2" s="2"/>
      <c r="G2" s="2" t="s">
        <v>16</v>
      </c>
      <c r="H2" s="28" t="s">
        <v>17</v>
      </c>
      <c r="I2" s="9">
        <v>750</v>
      </c>
      <c r="J2" s="9">
        <v>1250</v>
      </c>
      <c r="K2" s="9"/>
      <c r="L2" s="9">
        <v>2000</v>
      </c>
      <c r="O2" s="29">
        <f>L2/85</f>
        <v>23.529411764705884</v>
      </c>
    </row>
    <row r="3" spans="1:15" ht="167.25">
      <c r="A3" s="3">
        <v>1</v>
      </c>
      <c r="B3" s="3" t="s">
        <v>14</v>
      </c>
      <c r="C3" s="7" t="s">
        <v>18</v>
      </c>
      <c r="D3" s="2"/>
      <c r="E3" s="2"/>
      <c r="F3" s="2"/>
      <c r="G3" s="2" t="s">
        <v>19</v>
      </c>
      <c r="H3" s="28" t="s">
        <v>20</v>
      </c>
      <c r="I3" s="9">
        <v>1500</v>
      </c>
      <c r="J3" s="9">
        <v>3000</v>
      </c>
      <c r="K3" s="9"/>
      <c r="L3" s="9">
        <v>6000</v>
      </c>
      <c r="O3" s="29">
        <f>L3/100</f>
        <v>60</v>
      </c>
    </row>
    <row r="4" spans="1:15" ht="106.5">
      <c r="A4" s="3">
        <v>1</v>
      </c>
      <c r="B4" s="3" t="s">
        <v>14</v>
      </c>
      <c r="C4" s="7" t="s">
        <v>21</v>
      </c>
      <c r="D4" s="3" t="s">
        <v>22</v>
      </c>
      <c r="E4" s="1" t="s">
        <v>23</v>
      </c>
      <c r="F4" s="6" t="s">
        <v>24</v>
      </c>
      <c r="G4" s="3" t="s">
        <v>25</v>
      </c>
      <c r="H4" s="3" t="s">
        <v>26</v>
      </c>
      <c r="I4" s="9">
        <v>850</v>
      </c>
      <c r="J4" s="9">
        <v>1300</v>
      </c>
      <c r="K4" s="9"/>
      <c r="L4" s="9">
        <v>2500</v>
      </c>
      <c r="M4" s="3" t="s">
        <v>27</v>
      </c>
    </row>
    <row r="5" spans="1:15" ht="229.5">
      <c r="A5" s="3">
        <v>2</v>
      </c>
      <c r="B5" s="3" t="s">
        <v>14</v>
      </c>
      <c r="C5" s="7" t="s">
        <v>28</v>
      </c>
      <c r="D5" s="1" t="s">
        <v>29</v>
      </c>
      <c r="E5" s="3" t="s">
        <v>30</v>
      </c>
      <c r="F5" s="3" t="s">
        <v>31</v>
      </c>
      <c r="G5" s="2" t="s">
        <v>19</v>
      </c>
      <c r="H5" s="3" t="s">
        <v>32</v>
      </c>
      <c r="I5" s="10">
        <v>1500</v>
      </c>
      <c r="J5" s="10">
        <v>3000</v>
      </c>
      <c r="K5" s="10"/>
      <c r="L5" s="10">
        <v>6000</v>
      </c>
    </row>
    <row r="6" spans="1:15" ht="76.5">
      <c r="A6" s="3">
        <v>2</v>
      </c>
      <c r="B6" s="3" t="s">
        <v>14</v>
      </c>
      <c r="C6" s="7"/>
      <c r="D6" s="1"/>
      <c r="H6" s="3" t="s">
        <v>33</v>
      </c>
      <c r="I6" s="10"/>
      <c r="J6" s="10"/>
      <c r="K6" s="10"/>
      <c r="L6" s="10"/>
    </row>
    <row r="7" spans="1:15" ht="60.75">
      <c r="A7" s="3">
        <v>5</v>
      </c>
      <c r="B7" s="3" t="s">
        <v>14</v>
      </c>
      <c r="C7" s="3" t="s">
        <v>34</v>
      </c>
      <c r="E7" s="4" t="s">
        <v>35</v>
      </c>
      <c r="F7" s="3" t="s">
        <v>36</v>
      </c>
      <c r="G7" s="3" t="s">
        <v>37</v>
      </c>
      <c r="I7" s="9"/>
      <c r="J7" s="9"/>
      <c r="K7" s="9"/>
      <c r="L7" s="9"/>
      <c r="M7" s="3" t="s">
        <v>38</v>
      </c>
    </row>
    <row r="8" spans="1:15" ht="76.5">
      <c r="A8" s="16">
        <v>5</v>
      </c>
      <c r="B8" s="16" t="s">
        <v>14</v>
      </c>
      <c r="C8" s="16" t="s">
        <v>39</v>
      </c>
      <c r="D8" s="17" t="s">
        <v>40</v>
      </c>
      <c r="E8" s="18" t="s">
        <v>41</v>
      </c>
      <c r="F8" s="16" t="s">
        <v>42</v>
      </c>
      <c r="G8" s="16" t="s">
        <v>43</v>
      </c>
      <c r="H8" s="16"/>
      <c r="I8" s="19"/>
      <c r="J8" s="19"/>
      <c r="K8" s="19"/>
      <c r="L8" s="19"/>
      <c r="M8" s="16" t="s">
        <v>27</v>
      </c>
    </row>
    <row r="9" spans="1:15" ht="30.75">
      <c r="A9" s="3">
        <v>5</v>
      </c>
      <c r="B9" s="3" t="s">
        <v>14</v>
      </c>
      <c r="C9" s="3" t="s">
        <v>44</v>
      </c>
      <c r="D9" s="3" t="s">
        <v>45</v>
      </c>
      <c r="E9" s="5" t="s">
        <v>46</v>
      </c>
      <c r="G9" s="3" t="s">
        <v>43</v>
      </c>
      <c r="I9" s="9"/>
      <c r="J9" s="9"/>
      <c r="K9" s="9"/>
      <c r="L9" s="9"/>
    </row>
    <row r="10" spans="1:15" ht="60.75">
      <c r="A10" s="3">
        <v>5</v>
      </c>
      <c r="B10" s="3" t="s">
        <v>14</v>
      </c>
      <c r="C10" s="3" t="s">
        <v>47</v>
      </c>
      <c r="D10" s="4" t="s">
        <v>48</v>
      </c>
      <c r="F10" s="3" t="s">
        <v>49</v>
      </c>
      <c r="M10" s="3" t="s">
        <v>50</v>
      </c>
    </row>
    <row r="11" spans="1:15" ht="213">
      <c r="A11" s="3">
        <v>99</v>
      </c>
      <c r="B11" s="3" t="s">
        <v>14</v>
      </c>
      <c r="C11" s="3" t="s">
        <v>51</v>
      </c>
      <c r="D11" s="3" t="s">
        <v>52</v>
      </c>
      <c r="E11" s="3" t="s">
        <v>30</v>
      </c>
      <c r="F11" s="3" t="s">
        <v>53</v>
      </c>
      <c r="G11" t="s">
        <v>54</v>
      </c>
      <c r="H11" s="4"/>
      <c r="I11" s="4"/>
      <c r="J11" s="4"/>
      <c r="K11" s="4"/>
      <c r="L11" s="4"/>
      <c r="M11" s="4" t="s">
        <v>38</v>
      </c>
    </row>
    <row r="12" spans="1:15" s="11" customFormat="1" ht="106.5">
      <c r="A12" s="11">
        <v>99</v>
      </c>
      <c r="B12" s="11" t="s">
        <v>14</v>
      </c>
      <c r="C12" s="11" t="s">
        <v>55</v>
      </c>
      <c r="D12" s="15" t="s">
        <v>56</v>
      </c>
      <c r="E12" s="12" t="s">
        <v>57</v>
      </c>
      <c r="F12" s="11" t="s">
        <v>58</v>
      </c>
      <c r="I12" s="13"/>
      <c r="J12" s="13"/>
      <c r="K12" s="13"/>
      <c r="L12" s="13"/>
      <c r="M12" s="14" t="s">
        <v>59</v>
      </c>
    </row>
    <row r="15" spans="1:15">
      <c r="C15" s="24" t="s">
        <v>60</v>
      </c>
    </row>
    <row r="16" spans="1:15" ht="45.75">
      <c r="C16" s="25" t="s">
        <v>61</v>
      </c>
      <c r="D16" s="3" t="s">
        <v>62</v>
      </c>
      <c r="F16" s="20" t="s">
        <v>63</v>
      </c>
    </row>
    <row r="17" spans="3:6" ht="76.5">
      <c r="C17" s="26" t="s">
        <v>64</v>
      </c>
      <c r="D17" s="1" t="s">
        <v>65</v>
      </c>
      <c r="E17" s="23" t="s">
        <v>66</v>
      </c>
      <c r="F17" s="22" t="s">
        <v>67</v>
      </c>
    </row>
    <row r="18" spans="3:6" ht="19.5">
      <c r="C18" s="27" t="s">
        <v>68</v>
      </c>
      <c r="D18" s="23" t="s">
        <v>69</v>
      </c>
      <c r="E18" s="21" t="s">
        <v>70</v>
      </c>
    </row>
    <row r="22" spans="3:6" ht="30.75">
      <c r="C22" s="3" t="s">
        <v>71</v>
      </c>
    </row>
    <row r="29" spans="3:6">
      <c r="C29" s="3" t="s">
        <v>72</v>
      </c>
    </row>
    <row r="30" spans="3:6">
      <c r="C30" s="3" t="s">
        <v>73</v>
      </c>
    </row>
    <row r="31" spans="3:6">
      <c r="C31" s="3" t="s">
        <v>74</v>
      </c>
    </row>
    <row r="32" spans="3:6" ht="76.5">
      <c r="C32" s="3" t="s">
        <v>75</v>
      </c>
    </row>
    <row r="33" spans="3:3">
      <c r="C33" s="3" t="s">
        <v>76</v>
      </c>
    </row>
    <row r="34" spans="3:3">
      <c r="C34" s="3" t="s">
        <v>77</v>
      </c>
    </row>
    <row r="35" spans="3:3">
      <c r="C35" s="3" t="s">
        <v>78</v>
      </c>
    </row>
    <row r="36" spans="3:3">
      <c r="C36" s="3" t="s">
        <v>79</v>
      </c>
    </row>
    <row r="37" spans="3:3" ht="76.5">
      <c r="C37" s="3" t="s">
        <v>80</v>
      </c>
    </row>
    <row r="39" spans="3:3">
      <c r="C39" s="3" t="s">
        <v>81</v>
      </c>
    </row>
    <row r="40" spans="3:3" ht="30.75">
      <c r="C40" s="3" t="s">
        <v>82</v>
      </c>
    </row>
    <row r="41" spans="3:3" ht="45.75">
      <c r="C41" s="3" t="s">
        <v>83</v>
      </c>
    </row>
    <row r="42" spans="3:3">
      <c r="C42" s="3" t="s">
        <v>74</v>
      </c>
    </row>
    <row r="43" spans="3:3" ht="60.75">
      <c r="C43" s="3" t="s">
        <v>84</v>
      </c>
    </row>
    <row r="45" spans="3:3">
      <c r="C45" s="3" t="s">
        <v>81</v>
      </c>
    </row>
    <row r="46" spans="3:3">
      <c r="C46" s="3" t="s">
        <v>85</v>
      </c>
    </row>
    <row r="47" spans="3:3">
      <c r="C47" s="3" t="s">
        <v>86</v>
      </c>
    </row>
    <row r="48" spans="3:3">
      <c r="C48" s="3" t="s">
        <v>79</v>
      </c>
    </row>
    <row r="49" spans="3:3" ht="60.75">
      <c r="C49" s="3" t="s">
        <v>87</v>
      </c>
    </row>
    <row r="51" spans="3:3">
      <c r="C51" s="3" t="s">
        <v>88</v>
      </c>
    </row>
    <row r="52" spans="3:3" ht="30.75">
      <c r="C52" s="3" t="s">
        <v>89</v>
      </c>
    </row>
    <row r="53" spans="3:3" ht="45.75">
      <c r="C53" s="3" t="s">
        <v>90</v>
      </c>
    </row>
    <row r="54" spans="3:3">
      <c r="C54" s="3" t="s">
        <v>79</v>
      </c>
    </row>
    <row r="55" spans="3:3" ht="60.75">
      <c r="C55" s="3" t="s">
        <v>91</v>
      </c>
    </row>
    <row r="57" spans="3:3">
      <c r="C57" s="3" t="s">
        <v>81</v>
      </c>
    </row>
    <row r="58" spans="3:3">
      <c r="C58" s="3" t="s">
        <v>92</v>
      </c>
    </row>
    <row r="59" spans="3:3">
      <c r="C59" s="3" t="s">
        <v>93</v>
      </c>
    </row>
    <row r="60" spans="3:3">
      <c r="C60" s="3" t="s">
        <v>74</v>
      </c>
    </row>
    <row r="61" spans="3:3" ht="91.5">
      <c r="C61" s="3" t="s">
        <v>94</v>
      </c>
    </row>
    <row r="63" spans="3:3">
      <c r="C63" s="3" t="s">
        <v>81</v>
      </c>
    </row>
    <row r="64" spans="3:3">
      <c r="C64" s="3" t="s">
        <v>95</v>
      </c>
    </row>
    <row r="65" spans="3:3">
      <c r="C65" s="3" t="s">
        <v>96</v>
      </c>
    </row>
    <row r="66" spans="3:3">
      <c r="C66" s="3" t="s">
        <v>74</v>
      </c>
    </row>
    <row r="67" spans="3:3" ht="76.5">
      <c r="C67" s="3" t="s">
        <v>97</v>
      </c>
    </row>
    <row r="69" spans="3:3">
      <c r="C69" s="3" t="s">
        <v>88</v>
      </c>
    </row>
    <row r="70" spans="3:3" ht="30.75">
      <c r="C70" s="3" t="s">
        <v>98</v>
      </c>
    </row>
    <row r="71" spans="3:3" ht="45.75">
      <c r="C71" s="3" t="s">
        <v>99</v>
      </c>
    </row>
    <row r="72" spans="3:3">
      <c r="C72" s="3" t="s">
        <v>74</v>
      </c>
    </row>
    <row r="73" spans="3:3" ht="30.75">
      <c r="C73" s="3" t="s">
        <v>100</v>
      </c>
    </row>
    <row r="74" spans="3:3">
      <c r="C74" s="3" t="s">
        <v>76</v>
      </c>
    </row>
  </sheetData>
  <autoFilter ref="A1:O1" xr:uid="{00000000-0001-0000-0000-000000000000}">
    <sortState xmlns:xlrd2="http://schemas.microsoft.com/office/spreadsheetml/2017/richdata2" ref="A2:O9">
      <sortCondition ref="A1"/>
    </sortState>
  </autoFilter>
  <hyperlinks>
    <hyperlink ref="E7" r:id="rId1" xr:uid="{F5268858-E3D7-42FF-9D52-EADD4DBD8CE6}"/>
    <hyperlink ref="D10" r:id="rId2" xr:uid="{47CF296C-0A5C-4BEC-A1D9-69B3A1C646D7}"/>
    <hyperlink ref="E9" r:id="rId3" display="http://valencebiomed.com/" xr:uid="{6F88FC5B-56B2-4B77-A9A5-142CDCEF3197}"/>
    <hyperlink ref="E12" r:id="rId4" display="http://www.myriadmd.com/" xr:uid="{2079D54F-6482-4E6B-97B7-64EF49A242A1}"/>
    <hyperlink ref="E4" r:id="rId5" xr:uid="{1D677AB8-F5E7-4EE3-B64C-377F3FD5FCCD}"/>
    <hyperlink ref="D8" r:id="rId6" xr:uid="{55027A48-58B5-4FD4-89EE-ECEFC895C3EE}"/>
    <hyperlink ref="D5" r:id="rId7" xr:uid="{252DB5A6-AD4E-4E10-9530-12846C68674D}"/>
    <hyperlink ref="D12" r:id="rId8" display=" myriadmd@yahoo.com; tmoran@myriadmd.com" xr:uid="{D3CCFFBF-DD3D-4C1F-84A8-1E2D64D96F78}"/>
    <hyperlink ref="D17" r:id="rId9" xr:uid="{8B3755E2-3D41-47DE-B6C1-80888B8515D0}"/>
    <hyperlink ref="E18" r:id="rId10" xr:uid="{130A0A79-9454-4972-B7BE-B472CB5D5E08}"/>
  </hyperlinks>
  <pageMargins left="0.7" right="0.7" top="0.75" bottom="0.75" header="0.3" footer="0.3"/>
  <pageSetup orientation="portrait"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a93b1d-5067-4fc1-b8a0-a7a443505641" xsi:nil="true"/>
    <lcf76f155ced4ddcb4097134ff3c332f xmlns="a4d439a0-5a44-4000-a4bb-37fe01a1072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F51824C2CE6A3498D635343E4B44909" ma:contentTypeVersion="11" ma:contentTypeDescription="Create a new document." ma:contentTypeScope="" ma:versionID="f5f5b420b41e4028f5e407a03651f48e">
  <xsd:schema xmlns:xsd="http://www.w3.org/2001/XMLSchema" xmlns:xs="http://www.w3.org/2001/XMLSchema" xmlns:p="http://schemas.microsoft.com/office/2006/metadata/properties" xmlns:ns2="a4d439a0-5a44-4000-a4bb-37fe01a10722" xmlns:ns3="92a93b1d-5067-4fc1-b8a0-a7a443505641" targetNamespace="http://schemas.microsoft.com/office/2006/metadata/properties" ma:root="true" ma:fieldsID="b5604d8342ec2b8d0086017e8dac8e42" ns2:_="" ns3:_="">
    <xsd:import namespace="a4d439a0-5a44-4000-a4bb-37fe01a10722"/>
    <xsd:import namespace="92a93b1d-5067-4fc1-b8a0-a7a44350564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d439a0-5a44-4000-a4bb-37fe01a10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710c007-53bf-43f6-9160-0aa968ac1f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a93b1d-5067-4fc1-b8a0-a7a44350564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8840ea3-209d-43fc-8710-ececb114e745}" ma:internalName="TaxCatchAll" ma:showField="CatchAllData" ma:web="92a93b1d-5067-4fc1-b8a0-a7a4435056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85EA5C-4E50-4521-8DF3-4D4EE7CD00A9}"/>
</file>

<file path=customXml/itemProps2.xml><?xml version="1.0" encoding="utf-8"?>
<ds:datastoreItem xmlns:ds="http://schemas.openxmlformats.org/officeDocument/2006/customXml" ds:itemID="{31C87132-4A85-4EE4-A7E8-9D07E8343D82}"/>
</file>

<file path=customXml/itemProps3.xml><?xml version="1.0" encoding="utf-8"?>
<ds:datastoreItem xmlns:ds="http://schemas.openxmlformats.org/officeDocument/2006/customXml" ds:itemID="{54EA9A8C-2720-4F03-B3B3-DC33A3B9BE1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Jessica Marshall</cp:lastModifiedBy>
  <cp:revision/>
  <dcterms:created xsi:type="dcterms:W3CDTF">2023-02-07T19:47:14Z</dcterms:created>
  <dcterms:modified xsi:type="dcterms:W3CDTF">2023-08-10T14:27:32Z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0x0101005F51824C2CE6A3498D635343E4B44909</vt:lpwstr>
  </property>
  <property fmtid="{D5CDD505-2E9C-101B-9397-08002B2CF9AE}" pid="3" name="MediaServiceImageTags">
    <vt:lpwstr/>
  </property>
</Properties>
</file>